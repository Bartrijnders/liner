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chaelakeller/Desktop/The doc_WEM_Maikel Zeegers/kick off/voorbeeldbestanden thedoc tbv kick-off/diverse calculatie sjablonen/"/>
    </mc:Choice>
  </mc:AlternateContent>
  <xr:revisionPtr revIDLastSave="0" documentId="8_{98A61E2B-3A11-4438-B71B-E9D7F6824FAD}" xr6:coauthVersionLast="47" xr6:coauthVersionMax="47" xr10:uidLastSave="{00000000-0000-0000-0000-000000000000}"/>
  <bookViews>
    <workbookView xWindow="0" yWindow="620" windowWidth="30240" windowHeight="19160" tabRatio="500" xr2:uid="{00000000-000D-0000-FFFF-FFFF00000000}"/>
  </bookViews>
  <sheets>
    <sheet name="Budget show 1" sheetId="1" r:id="rId1"/>
    <sheet name="Budget show 2" sheetId="9" r:id="rId2"/>
    <sheet name="Budget show 3" sheetId="10" r:id="rId3"/>
    <sheet name="Budget show 4" sheetId="11" r:id="rId4"/>
    <sheet name="Calc 1" sheetId="7" r:id="rId5"/>
    <sheet name="Calc 2" sheetId="12" r:id="rId6"/>
    <sheet name="Calc 3" sheetId="13" r:id="rId7"/>
    <sheet name="Calc 4" sheetId="14" r:id="rId8"/>
    <sheet name="Total overview" sheetId="15" r:id="rId9"/>
    <sheet name="Rapportage" sheetId="5" state="hidden" r:id="rId10"/>
    <sheet name="Dropdown content" sheetId="2" r:id="rId11"/>
    <sheet name="Nacalculatie" sheetId="8" r:id="rId12"/>
  </sheets>
  <externalReferences>
    <externalReference r:id="rId13"/>
  </externalReferences>
  <definedNames>
    <definedName name="_xlnm.Print_Titles" localSheetId="4">'Calc 1'!$1:$2</definedName>
    <definedName name="_xlnm.Print_Titles" localSheetId="5">'Calc 2'!$1:$2</definedName>
    <definedName name="_xlnm.Print_Titles" localSheetId="6">'Calc 3'!$1:$2</definedName>
    <definedName name="_xlnm.Print_Titles" localSheetId="7">'Calc 4'!$1:$2</definedName>
    <definedName name="euro" localSheetId="4">'Calc 1'!$I$1</definedName>
    <definedName name="euro" localSheetId="5">'Calc 2'!$I$1</definedName>
    <definedName name="euro" localSheetId="6">'Calc 3'!$I$1</definedName>
    <definedName name="euro" localSheetId="7">'Calc 4'!$I$1</definedName>
    <definedName name="euro" localSheetId="8">#REF!</definedName>
    <definedName name="euro">#REF!</definedName>
    <definedName name="fee" localSheetId="4">'Calc 1'!$E$1</definedName>
    <definedName name="fee" localSheetId="5">'Calc 2'!$E$1</definedName>
    <definedName name="fee" localSheetId="6">'Calc 3'!$E$1</definedName>
    <definedName name="fee" localSheetId="7">'Calc 4'!$E$1</definedName>
    <definedName name="fee" localSheetId="8">[1]ExpoGlobal!$E$1</definedName>
    <definedName name="fee">#REF!</definedName>
    <definedName name="koop" localSheetId="4">'Calc 1'!$F$1</definedName>
    <definedName name="koop" localSheetId="5">'Calc 2'!$F$1</definedName>
    <definedName name="koop" localSheetId="6">'Calc 3'!$F$1</definedName>
    <definedName name="koop" localSheetId="7">'Calc 4'!$F$1</definedName>
    <definedName name="koop" localSheetId="8">#REF!</definedName>
    <definedName name="koop">#REF!</definedName>
    <definedName name="rate" localSheetId="4">'Calc 1'!$F$1</definedName>
    <definedName name="rate" localSheetId="5">'Calc 2'!$F$1</definedName>
    <definedName name="rate" localSheetId="6">'Calc 3'!$F$1</definedName>
    <definedName name="rate" localSheetId="7">'Calc 4'!$F$1</definedName>
    <definedName name="rate" localSheetId="8">#REF!</definedName>
    <definedName name="rate">#REF!</definedName>
    <definedName name="uk" localSheetId="4">'Calc 1'!$E$1</definedName>
    <definedName name="uk" localSheetId="5">'Calc 2'!$E$1</definedName>
    <definedName name="uk" localSheetId="6">'Calc 3'!$E$1</definedName>
    <definedName name="uk" localSheetId="7">'Calc 4'!$E$1</definedName>
    <definedName name="uk" localSheetId="8">#REF!</definedName>
    <definedName name="uk">#REF!</definedName>
    <definedName name="us" localSheetId="4">'Calc 1'!$F$1</definedName>
    <definedName name="us" localSheetId="5">'Calc 2'!$F$1</definedName>
    <definedName name="us" localSheetId="6">'Calc 3'!$F$1</definedName>
    <definedName name="us" localSheetId="7">'Calc 4'!$F$1</definedName>
    <definedName name="us" localSheetId="8">#REF!</definedName>
    <definedName name="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5" i="1" l="1"/>
  <c r="D244" i="7"/>
  <c r="F230" i="7" a="1"/>
  <c r="F230" i="7"/>
  <c r="F225" i="7"/>
  <c r="E228" i="7"/>
  <c r="H220" i="7"/>
  <c r="D220" i="7"/>
  <c r="G24" i="1"/>
  <c r="I21" i="1"/>
  <c r="B4" i="7"/>
  <c r="E17" i="7"/>
  <c r="D238" i="7"/>
  <c r="F16" i="12"/>
  <c r="E241" i="14"/>
  <c r="E240" i="14"/>
  <c r="E239" i="14"/>
  <c r="E238" i="14"/>
  <c r="F209" i="14"/>
  <c r="F208" i="14"/>
  <c r="F207" i="14"/>
  <c r="F206" i="14"/>
  <c r="F205" i="14"/>
  <c r="F204" i="14"/>
  <c r="F203" i="14"/>
  <c r="E210" i="14"/>
  <c r="E209" i="14"/>
  <c r="E208" i="14"/>
  <c r="E207" i="14"/>
  <c r="E206" i="14"/>
  <c r="E205" i="14"/>
  <c r="E204" i="14"/>
  <c r="E203" i="14"/>
  <c r="F209" i="12"/>
  <c r="F208" i="12"/>
  <c r="F207" i="12"/>
  <c r="F206" i="12"/>
  <c r="F205" i="12"/>
  <c r="F204" i="12"/>
  <c r="F203" i="12"/>
  <c r="F209" i="13"/>
  <c r="F208" i="13"/>
  <c r="F207" i="13"/>
  <c r="F206" i="13"/>
  <c r="F205" i="13"/>
  <c r="F204" i="13"/>
  <c r="F203" i="13"/>
  <c r="E210" i="13"/>
  <c r="E209" i="13"/>
  <c r="E208" i="13"/>
  <c r="E207" i="13"/>
  <c r="E206" i="13"/>
  <c r="E205" i="13"/>
  <c r="E204" i="13"/>
  <c r="E203" i="13"/>
  <c r="E241" i="13"/>
  <c r="E240" i="13"/>
  <c r="E239" i="13"/>
  <c r="E238" i="13"/>
  <c r="J6" i="15"/>
  <c r="I9" i="15"/>
  <c r="I8" i="15"/>
  <c r="I7" i="15"/>
  <c r="I6" i="15"/>
  <c r="F9" i="15"/>
  <c r="F8" i="15"/>
  <c r="C9" i="15"/>
  <c r="C8" i="15"/>
  <c r="F7" i="15"/>
  <c r="G6" i="15"/>
  <c r="F6" i="15"/>
  <c r="E6" i="15"/>
  <c r="B9" i="15"/>
  <c r="B8" i="15"/>
  <c r="B6" i="15"/>
  <c r="B7" i="15"/>
  <c r="D341" i="14" l="1"/>
  <c r="D19" i="15"/>
  <c r="D340" i="14"/>
  <c r="D339" i="14"/>
  <c r="D338" i="14"/>
  <c r="D337" i="14"/>
  <c r="D336" i="14"/>
  <c r="D335" i="14"/>
  <c r="D334" i="14"/>
  <c r="D333" i="14"/>
  <c r="D332" i="14"/>
  <c r="D331" i="14"/>
  <c r="D241" i="14"/>
  <c r="D240" i="14"/>
  <c r="D239" i="14"/>
  <c r="D238" i="14"/>
  <c r="D210" i="14"/>
  <c r="D209" i="14"/>
  <c r="D208" i="14"/>
  <c r="D207" i="14"/>
  <c r="D206" i="14"/>
  <c r="D205" i="14"/>
  <c r="D204" i="14"/>
  <c r="D203" i="14"/>
  <c r="A10" i="12"/>
  <c r="A10" i="13"/>
  <c r="E10" i="14"/>
  <c r="A10" i="14"/>
  <c r="B8" i="14"/>
  <c r="B7" i="14"/>
  <c r="B6" i="14"/>
  <c r="B5" i="14"/>
  <c r="B4" i="14"/>
  <c r="D331" i="13"/>
  <c r="D331" i="7"/>
  <c r="D331" i="12"/>
  <c r="D338" i="13"/>
  <c r="D341" i="13"/>
  <c r="D340" i="13"/>
  <c r="D339" i="13"/>
  <c r="D337" i="13"/>
  <c r="D336" i="13"/>
  <c r="D335" i="13"/>
  <c r="D334" i="13"/>
  <c r="D333" i="13"/>
  <c r="D332" i="13"/>
  <c r="D241" i="13"/>
  <c r="D240" i="13"/>
  <c r="D239" i="13"/>
  <c r="D238" i="13"/>
  <c r="D210" i="13"/>
  <c r="D209" i="13"/>
  <c r="D208" i="13"/>
  <c r="D207" i="13"/>
  <c r="D206" i="13"/>
  <c r="D205" i="13"/>
  <c r="D204" i="13"/>
  <c r="D203" i="13"/>
  <c r="E10" i="13"/>
  <c r="E10" i="12"/>
  <c r="B8" i="13"/>
  <c r="B7" i="13"/>
  <c r="B6" i="13"/>
  <c r="B5" i="13"/>
  <c r="B4" i="13"/>
  <c r="D341" i="12"/>
  <c r="D340" i="12"/>
  <c r="D339" i="12"/>
  <c r="D338" i="12"/>
  <c r="D337" i="12"/>
  <c r="D336" i="12"/>
  <c r="D335" i="12"/>
  <c r="D334" i="12"/>
  <c r="D333" i="12"/>
  <c r="D332" i="12"/>
  <c r="E241" i="12"/>
  <c r="E240" i="12"/>
  <c r="E239" i="12"/>
  <c r="E238" i="12"/>
  <c r="D241" i="12"/>
  <c r="D240" i="12"/>
  <c r="D239" i="12"/>
  <c r="D238" i="12"/>
  <c r="E210" i="12"/>
  <c r="E209" i="12"/>
  <c r="E208" i="12"/>
  <c r="E207" i="12"/>
  <c r="E206" i="12"/>
  <c r="E205" i="12"/>
  <c r="E204" i="12"/>
  <c r="E203" i="12"/>
  <c r="D210" i="12"/>
  <c r="D209" i="12"/>
  <c r="D208" i="12"/>
  <c r="D207" i="12"/>
  <c r="D206" i="12"/>
  <c r="D205" i="12"/>
  <c r="D204" i="12"/>
  <c r="D203" i="12"/>
  <c r="B6" i="12"/>
  <c r="B7" i="12"/>
  <c r="B8" i="12"/>
  <c r="B5" i="12"/>
  <c r="B4" i="12"/>
  <c r="D399" i="14"/>
  <c r="D395" i="14"/>
  <c r="D384" i="14"/>
  <c r="D386" i="14" s="1"/>
  <c r="D375" i="14"/>
  <c r="D376" i="14" s="1"/>
  <c r="D374" i="14"/>
  <c r="D363" i="14"/>
  <c r="D362" i="14"/>
  <c r="D357" i="14"/>
  <c r="D356" i="14"/>
  <c r="D358" i="14" s="1"/>
  <c r="D355" i="14"/>
  <c r="D349" i="14"/>
  <c r="D325" i="14"/>
  <c r="F311" i="14"/>
  <c r="I311" i="14" s="1"/>
  <c r="D311" i="14"/>
  <c r="D385" i="14" s="1"/>
  <c r="F309" i="14"/>
  <c r="E309" i="14" s="1"/>
  <c r="F308" i="14"/>
  <c r="E308" i="14"/>
  <c r="F307" i="14"/>
  <c r="E307" i="14"/>
  <c r="E311" i="14" s="1"/>
  <c r="D298" i="14"/>
  <c r="F296" i="14"/>
  <c r="E296" i="14" s="1"/>
  <c r="F295" i="14"/>
  <c r="E295" i="14"/>
  <c r="F294" i="14"/>
  <c r="E294" i="14" s="1"/>
  <c r="F293" i="14"/>
  <c r="E293" i="14" s="1"/>
  <c r="F292" i="14"/>
  <c r="E292" i="14" s="1"/>
  <c r="F291" i="14"/>
  <c r="E291" i="14" s="1"/>
  <c r="F290" i="14"/>
  <c r="F289" i="14"/>
  <c r="E289" i="14"/>
  <c r="F288" i="14"/>
  <c r="E288" i="14" s="1"/>
  <c r="D279" i="14"/>
  <c r="F278" i="14"/>
  <c r="E278" i="14" s="1"/>
  <c r="F277" i="14"/>
  <c r="E277" i="14" s="1"/>
  <c r="F276" i="14"/>
  <c r="E276" i="14"/>
  <c r="F275" i="14"/>
  <c r="E275" i="14"/>
  <c r="F274" i="14"/>
  <c r="F279" i="14" s="1"/>
  <c r="D264" i="14"/>
  <c r="F263" i="14"/>
  <c r="I263" i="14" s="1"/>
  <c r="E263" i="14"/>
  <c r="F262" i="14"/>
  <c r="I262" i="14" s="1"/>
  <c r="E262" i="14"/>
  <c r="E264" i="14" s="1"/>
  <c r="D253" i="14"/>
  <c r="D350" i="14" s="1"/>
  <c r="F252" i="14"/>
  <c r="F251" i="14"/>
  <c r="F253" i="14" s="1"/>
  <c r="E244" i="14"/>
  <c r="I229" i="14"/>
  <c r="E229" i="14"/>
  <c r="I228" i="14"/>
  <c r="E228" i="14"/>
  <c r="B216" i="14"/>
  <c r="E214" i="14"/>
  <c r="E213" i="14"/>
  <c r="E212" i="14"/>
  <c r="E211" i="14"/>
  <c r="D330" i="14"/>
  <c r="D342" i="14" s="1"/>
  <c r="D216" i="14"/>
  <c r="H199" i="14"/>
  <c r="D199" i="14"/>
  <c r="D221" i="14" s="1"/>
  <c r="I197" i="14"/>
  <c r="E197" i="14"/>
  <c r="F195" i="14"/>
  <c r="E195" i="14" s="1"/>
  <c r="F194" i="14"/>
  <c r="I194" i="14" s="1"/>
  <c r="F193" i="14"/>
  <c r="I193" i="14" s="1"/>
  <c r="E193" i="14"/>
  <c r="F192" i="14"/>
  <c r="I192" i="14" s="1"/>
  <c r="E192" i="14"/>
  <c r="F191" i="14"/>
  <c r="I191" i="14" s="1"/>
  <c r="E191" i="14"/>
  <c r="F188" i="14"/>
  <c r="F187" i="14"/>
  <c r="I187" i="14" s="1"/>
  <c r="F186" i="14"/>
  <c r="E186" i="14" s="1"/>
  <c r="F185" i="14"/>
  <c r="E185" i="14" s="1"/>
  <c r="F182" i="14"/>
  <c r="I182" i="14" s="1"/>
  <c r="E182" i="14"/>
  <c r="I181" i="14"/>
  <c r="F181" i="14"/>
  <c r="E181" i="14"/>
  <c r="F180" i="14"/>
  <c r="I180" i="14" s="1"/>
  <c r="E180" i="14"/>
  <c r="F177" i="14"/>
  <c r="I177" i="14" s="1"/>
  <c r="E177" i="14"/>
  <c r="F176" i="14"/>
  <c r="F175" i="14"/>
  <c r="I175" i="14" s="1"/>
  <c r="E175" i="14"/>
  <c r="F174" i="14"/>
  <c r="E174" i="14" s="1"/>
  <c r="F173" i="14"/>
  <c r="E173" i="14" s="1"/>
  <c r="F170" i="14"/>
  <c r="I170" i="14" s="1"/>
  <c r="E170" i="14"/>
  <c r="F169" i="14"/>
  <c r="I169" i="14" s="1"/>
  <c r="E169" i="14"/>
  <c r="F168" i="14"/>
  <c r="I168" i="14" s="1"/>
  <c r="E168" i="14"/>
  <c r="F167" i="14"/>
  <c r="I167" i="14" s="1"/>
  <c r="F166" i="14"/>
  <c r="H157" i="14"/>
  <c r="D157" i="14"/>
  <c r="I155" i="14"/>
  <c r="E155" i="14"/>
  <c r="F153" i="14"/>
  <c r="F152" i="14"/>
  <c r="I152" i="14" s="1"/>
  <c r="E152" i="14"/>
  <c r="F151" i="14"/>
  <c r="H147" i="14"/>
  <c r="D147" i="14"/>
  <c r="B147" i="14"/>
  <c r="F145" i="14"/>
  <c r="I145" i="14" s="1"/>
  <c r="E145" i="14"/>
  <c r="F144" i="14"/>
  <c r="I144" i="14" s="1"/>
  <c r="F143" i="14"/>
  <c r="E143" i="14" s="1"/>
  <c r="F142" i="14"/>
  <c r="F141" i="14"/>
  <c r="I141" i="14" s="1"/>
  <c r="E141" i="14"/>
  <c r="F140" i="14"/>
  <c r="E140" i="14" s="1"/>
  <c r="F139" i="14"/>
  <c r="E139" i="14" s="1"/>
  <c r="F138" i="14"/>
  <c r="I138" i="14" s="1"/>
  <c r="E138" i="14"/>
  <c r="F137" i="14"/>
  <c r="I137" i="14" s="1"/>
  <c r="E137" i="14"/>
  <c r="F136" i="14"/>
  <c r="E136" i="14"/>
  <c r="H132" i="14"/>
  <c r="D132" i="14"/>
  <c r="I130" i="14"/>
  <c r="E130" i="14"/>
  <c r="F128" i="14"/>
  <c r="I128" i="14" s="1"/>
  <c r="E128" i="14"/>
  <c r="F127" i="14"/>
  <c r="E127" i="14" s="1"/>
  <c r="F126" i="14"/>
  <c r="F132" i="14" s="1"/>
  <c r="I132" i="14" s="1"/>
  <c r="E126" i="14"/>
  <c r="H123" i="14"/>
  <c r="D123" i="14"/>
  <c r="I121" i="14"/>
  <c r="E121" i="14"/>
  <c r="F119" i="14"/>
  <c r="E119" i="14" s="1"/>
  <c r="F118" i="14"/>
  <c r="I118" i="14" s="1"/>
  <c r="E118" i="14"/>
  <c r="F117" i="14"/>
  <c r="I117" i="14" s="1"/>
  <c r="I116" i="14"/>
  <c r="F116" i="14"/>
  <c r="E116" i="14"/>
  <c r="F115" i="14"/>
  <c r="F114" i="14"/>
  <c r="I114" i="14" s="1"/>
  <c r="F113" i="14"/>
  <c r="E113" i="14" s="1"/>
  <c r="F112" i="14"/>
  <c r="E112" i="14" s="1"/>
  <c r="F111" i="14"/>
  <c r="I111" i="14" s="1"/>
  <c r="E111" i="14"/>
  <c r="F110" i="14"/>
  <c r="I110" i="14" s="1"/>
  <c r="E110" i="14"/>
  <c r="H106" i="14"/>
  <c r="D106" i="14"/>
  <c r="B106" i="14"/>
  <c r="F104" i="14"/>
  <c r="F103" i="14"/>
  <c r="I103" i="14" s="1"/>
  <c r="F102" i="14"/>
  <c r="E102" i="14" s="1"/>
  <c r="F101" i="14"/>
  <c r="E101" i="14" s="1"/>
  <c r="F100" i="14"/>
  <c r="I100" i="14" s="1"/>
  <c r="F99" i="14"/>
  <c r="I99" i="14" s="1"/>
  <c r="E99" i="14"/>
  <c r="F98" i="14"/>
  <c r="I98" i="14" s="1"/>
  <c r="E98" i="14"/>
  <c r="H94" i="14"/>
  <c r="D94" i="14"/>
  <c r="B94" i="14"/>
  <c r="F92" i="14"/>
  <c r="I92" i="14" s="1"/>
  <c r="E92" i="14"/>
  <c r="F91" i="14"/>
  <c r="E91" i="14" s="1"/>
  <c r="I90" i="14"/>
  <c r="F90" i="14"/>
  <c r="E90" i="14" s="1"/>
  <c r="F89" i="14"/>
  <c r="I89" i="14" s="1"/>
  <c r="E89" i="14"/>
  <c r="H85" i="14"/>
  <c r="D85" i="14"/>
  <c r="B85" i="14"/>
  <c r="I83" i="14"/>
  <c r="F83" i="14"/>
  <c r="E83" i="14" s="1"/>
  <c r="F82" i="14"/>
  <c r="F81" i="14"/>
  <c r="I81" i="14" s="1"/>
  <c r="F80" i="14"/>
  <c r="E80" i="14" s="1"/>
  <c r="F79" i="14"/>
  <c r="E79" i="14" s="1"/>
  <c r="F78" i="14"/>
  <c r="I78" i="14" s="1"/>
  <c r="F77" i="14"/>
  <c r="I77" i="14" s="1"/>
  <c r="E77" i="14"/>
  <c r="F76" i="14"/>
  <c r="I76" i="14" s="1"/>
  <c r="E76" i="14"/>
  <c r="F75" i="14"/>
  <c r="I75" i="14" s="1"/>
  <c r="F74" i="14"/>
  <c r="F73" i="14"/>
  <c r="I73" i="14" s="1"/>
  <c r="E73" i="14"/>
  <c r="F72" i="14"/>
  <c r="E72" i="14" s="1"/>
  <c r="H68" i="14"/>
  <c r="D68" i="14"/>
  <c r="B68" i="14"/>
  <c r="F66" i="14"/>
  <c r="E66" i="14" s="1"/>
  <c r="F65" i="14"/>
  <c r="I65" i="14" s="1"/>
  <c r="E65" i="14"/>
  <c r="F64" i="14"/>
  <c r="I64" i="14" s="1"/>
  <c r="F63" i="14"/>
  <c r="F62" i="14"/>
  <c r="I62" i="14" s="1"/>
  <c r="F61" i="14"/>
  <c r="E61" i="14" s="1"/>
  <c r="F60" i="14"/>
  <c r="E60" i="14" s="1"/>
  <c r="I59" i="14"/>
  <c r="F59" i="14"/>
  <c r="E59" i="14" s="1"/>
  <c r="I58" i="14"/>
  <c r="F58" i="14"/>
  <c r="E58" i="14"/>
  <c r="F57" i="14"/>
  <c r="I57" i="14" s="1"/>
  <c r="E57" i="14"/>
  <c r="F56" i="14"/>
  <c r="I56" i="14" s="1"/>
  <c r="F55" i="14"/>
  <c r="F54" i="14"/>
  <c r="I54" i="14" s="1"/>
  <c r="F53" i="14"/>
  <c r="H49" i="14"/>
  <c r="D49" i="14"/>
  <c r="B49" i="14"/>
  <c r="I47" i="14"/>
  <c r="F47" i="14"/>
  <c r="E47" i="14"/>
  <c r="F46" i="14"/>
  <c r="I46" i="14" s="1"/>
  <c r="E46" i="14"/>
  <c r="F45" i="14"/>
  <c r="F49" i="14" s="1"/>
  <c r="I49" i="14" s="1"/>
  <c r="H41" i="14"/>
  <c r="D41" i="14"/>
  <c r="B41" i="14"/>
  <c r="I39" i="14"/>
  <c r="E39" i="14"/>
  <c r="F37" i="14"/>
  <c r="F36" i="14"/>
  <c r="I36" i="14" s="1"/>
  <c r="F35" i="14"/>
  <c r="E35" i="14" s="1"/>
  <c r="I34" i="14"/>
  <c r="F34" i="14"/>
  <c r="E34" i="14" s="1"/>
  <c r="F33" i="14"/>
  <c r="I33" i="14" s="1"/>
  <c r="E33" i="14"/>
  <c r="F32" i="14"/>
  <c r="I32" i="14" s="1"/>
  <c r="E32" i="14"/>
  <c r="F31" i="14"/>
  <c r="E31" i="14" s="1"/>
  <c r="F30" i="14"/>
  <c r="I30" i="14" s="1"/>
  <c r="F29" i="14"/>
  <c r="H25" i="14"/>
  <c r="H160" i="14" s="1"/>
  <c r="H233" i="14" s="1"/>
  <c r="H256" i="14" s="1"/>
  <c r="H267" i="14" s="1"/>
  <c r="D25" i="14"/>
  <c r="B25" i="14"/>
  <c r="I22" i="14"/>
  <c r="E22" i="14"/>
  <c r="F20" i="14"/>
  <c r="I20" i="14" s="1"/>
  <c r="E20" i="14"/>
  <c r="F19" i="14"/>
  <c r="E19" i="14" s="1"/>
  <c r="F18" i="14"/>
  <c r="E18" i="14" s="1"/>
  <c r="F17" i="14"/>
  <c r="F25" i="14" s="1"/>
  <c r="I16" i="14"/>
  <c r="F16" i="14"/>
  <c r="E16" i="14"/>
  <c r="I15" i="14"/>
  <c r="F15" i="14"/>
  <c r="E15" i="14"/>
  <c r="I10" i="14"/>
  <c r="D399" i="13"/>
  <c r="D395" i="13"/>
  <c r="D384" i="13"/>
  <c r="D375" i="13"/>
  <c r="D374" i="13"/>
  <c r="D376" i="13" s="1"/>
  <c r="D363" i="13"/>
  <c r="D362" i="13"/>
  <c r="D357" i="13"/>
  <c r="D355" i="13"/>
  <c r="D356" i="13" s="1"/>
  <c r="D358" i="13" s="1"/>
  <c r="D349" i="13"/>
  <c r="D330" i="13"/>
  <c r="D342" i="13" s="1"/>
  <c r="D325" i="13"/>
  <c r="F311" i="13"/>
  <c r="I311" i="13" s="1"/>
  <c r="E311" i="13"/>
  <c r="D311" i="13"/>
  <c r="D385" i="13" s="1"/>
  <c r="D386" i="13" s="1"/>
  <c r="F309" i="13"/>
  <c r="E309" i="13"/>
  <c r="F308" i="13"/>
  <c r="E308" i="13" s="1"/>
  <c r="F307" i="13"/>
  <c r="E307" i="13"/>
  <c r="D298" i="13"/>
  <c r="F296" i="13"/>
  <c r="E296" i="13" s="1"/>
  <c r="F295" i="13"/>
  <c r="E295" i="13"/>
  <c r="F294" i="13"/>
  <c r="E294" i="13" s="1"/>
  <c r="F293" i="13"/>
  <c r="E293" i="13" s="1"/>
  <c r="F292" i="13"/>
  <c r="E292" i="13" s="1"/>
  <c r="F291" i="13"/>
  <c r="E291" i="13" s="1"/>
  <c r="F290" i="13"/>
  <c r="E290" i="13" s="1"/>
  <c r="F289" i="13"/>
  <c r="E289" i="13" s="1"/>
  <c r="F288" i="13"/>
  <c r="E288" i="13" s="1"/>
  <c r="D279" i="13"/>
  <c r="F278" i="13"/>
  <c r="E278" i="13" s="1"/>
  <c r="F277" i="13"/>
  <c r="E277" i="13"/>
  <c r="F276" i="13"/>
  <c r="E276" i="13" s="1"/>
  <c r="F275" i="13"/>
  <c r="E275" i="13"/>
  <c r="F274" i="13"/>
  <c r="E274" i="13" s="1"/>
  <c r="D264" i="13"/>
  <c r="F263" i="13"/>
  <c r="I263" i="13" s="1"/>
  <c r="E263" i="13"/>
  <c r="F262" i="13"/>
  <c r="D253" i="13"/>
  <c r="D350" i="13" s="1"/>
  <c r="D351" i="13" s="1"/>
  <c r="F252" i="13"/>
  <c r="E252" i="13" s="1"/>
  <c r="F251" i="13"/>
  <c r="I251" i="13" s="1"/>
  <c r="E251" i="13"/>
  <c r="E244" i="13"/>
  <c r="I229" i="13"/>
  <c r="E229" i="13"/>
  <c r="I228" i="13"/>
  <c r="E228" i="13"/>
  <c r="B216" i="13"/>
  <c r="E214" i="13"/>
  <c r="E213" i="13"/>
  <c r="E212" i="13"/>
  <c r="E211" i="13"/>
  <c r="D216" i="13"/>
  <c r="H199" i="13"/>
  <c r="D199" i="13"/>
  <c r="D221" i="13" s="1"/>
  <c r="I197" i="13"/>
  <c r="E197" i="13"/>
  <c r="F195" i="13"/>
  <c r="E195" i="13" s="1"/>
  <c r="F194" i="13"/>
  <c r="I194" i="13" s="1"/>
  <c r="E194" i="13"/>
  <c r="F193" i="13"/>
  <c r="E193" i="13" s="1"/>
  <c r="F192" i="13"/>
  <c r="E192" i="13" s="1"/>
  <c r="F191" i="13"/>
  <c r="I191" i="13" s="1"/>
  <c r="F188" i="13"/>
  <c r="I188" i="13" s="1"/>
  <c r="F187" i="13"/>
  <c r="I187" i="13" s="1"/>
  <c r="F186" i="13"/>
  <c r="E186" i="13" s="1"/>
  <c r="F185" i="13"/>
  <c r="E185" i="13" s="1"/>
  <c r="F182" i="13"/>
  <c r="I182" i="13" s="1"/>
  <c r="F181" i="13"/>
  <c r="E181" i="13" s="1"/>
  <c r="F180" i="13"/>
  <c r="E180" i="13" s="1"/>
  <c r="F177" i="13"/>
  <c r="I177" i="13" s="1"/>
  <c r="E177" i="13"/>
  <c r="F176" i="13"/>
  <c r="I176" i="13" s="1"/>
  <c r="E176" i="13"/>
  <c r="F175" i="13"/>
  <c r="I175" i="13" s="1"/>
  <c r="F174" i="13"/>
  <c r="F173" i="13"/>
  <c r="E173" i="13" s="1"/>
  <c r="F170" i="13"/>
  <c r="I170" i="13" s="1"/>
  <c r="F169" i="13"/>
  <c r="E169" i="13" s="1"/>
  <c r="F168" i="13"/>
  <c r="E168" i="13" s="1"/>
  <c r="F167" i="13"/>
  <c r="F166" i="13"/>
  <c r="I166" i="13" s="1"/>
  <c r="H157" i="13"/>
  <c r="D157" i="13"/>
  <c r="I155" i="13"/>
  <c r="E155" i="13"/>
  <c r="F153" i="13"/>
  <c r="I153" i="13" s="1"/>
  <c r="E153" i="13"/>
  <c r="F152" i="13"/>
  <c r="I152" i="13" s="1"/>
  <c r="F151" i="13"/>
  <c r="I151" i="13" s="1"/>
  <c r="H147" i="13"/>
  <c r="D147" i="13"/>
  <c r="B147" i="13"/>
  <c r="F145" i="13"/>
  <c r="E145" i="13" s="1"/>
  <c r="F144" i="13"/>
  <c r="I144" i="13" s="1"/>
  <c r="F143" i="13"/>
  <c r="I143" i="13" s="1"/>
  <c r="E143" i="13"/>
  <c r="F142" i="13"/>
  <c r="I142" i="13" s="1"/>
  <c r="E142" i="13"/>
  <c r="F141" i="13"/>
  <c r="I141" i="13" s="1"/>
  <c r="F140" i="13"/>
  <c r="F139" i="13"/>
  <c r="E139" i="13" s="1"/>
  <c r="F138" i="13"/>
  <c r="I138" i="13" s="1"/>
  <c r="F137" i="13"/>
  <c r="E137" i="13" s="1"/>
  <c r="F136" i="13"/>
  <c r="E136" i="13" s="1"/>
  <c r="H132" i="13"/>
  <c r="D132" i="13"/>
  <c r="I130" i="13"/>
  <c r="E130" i="13"/>
  <c r="F128" i="13"/>
  <c r="I128" i="13" s="1"/>
  <c r="F127" i="13"/>
  <c r="E127" i="13" s="1"/>
  <c r="F126" i="13"/>
  <c r="H123" i="13"/>
  <c r="D123" i="13"/>
  <c r="I121" i="13"/>
  <c r="E121" i="13"/>
  <c r="F119" i="13"/>
  <c r="F118" i="13"/>
  <c r="E118" i="13" s="1"/>
  <c r="F117" i="13"/>
  <c r="I117" i="13" s="1"/>
  <c r="E117" i="13"/>
  <c r="F116" i="13"/>
  <c r="I116" i="13" s="1"/>
  <c r="F115" i="13"/>
  <c r="I115" i="13" s="1"/>
  <c r="E115" i="13"/>
  <c r="F114" i="13"/>
  <c r="I114" i="13" s="1"/>
  <c r="F113" i="13"/>
  <c r="I113" i="13" s="1"/>
  <c r="E113" i="13"/>
  <c r="F112" i="13"/>
  <c r="E112" i="13" s="1"/>
  <c r="F111" i="13"/>
  <c r="I111" i="13" s="1"/>
  <c r="F110" i="13"/>
  <c r="H106" i="13"/>
  <c r="D106" i="13"/>
  <c r="B106" i="13"/>
  <c r="F104" i="13"/>
  <c r="I104" i="13" s="1"/>
  <c r="E104" i="13"/>
  <c r="F103" i="13"/>
  <c r="I103" i="13" s="1"/>
  <c r="F102" i="13"/>
  <c r="I102" i="13" s="1"/>
  <c r="F101" i="13"/>
  <c r="E101" i="13" s="1"/>
  <c r="F100" i="13"/>
  <c r="I100" i="13" s="1"/>
  <c r="E100" i="13"/>
  <c r="F99" i="13"/>
  <c r="I99" i="13" s="1"/>
  <c r="I98" i="13"/>
  <c r="F98" i="13"/>
  <c r="E98" i="13" s="1"/>
  <c r="H94" i="13"/>
  <c r="D94" i="13"/>
  <c r="B94" i="13"/>
  <c r="F92" i="13"/>
  <c r="I92" i="13" s="1"/>
  <c r="E92" i="13"/>
  <c r="F91" i="13"/>
  <c r="I91" i="13" s="1"/>
  <c r="F90" i="13"/>
  <c r="E90" i="13" s="1"/>
  <c r="F89" i="13"/>
  <c r="I89" i="13" s="1"/>
  <c r="H85" i="13"/>
  <c r="H160" i="13" s="1"/>
  <c r="H233" i="13" s="1"/>
  <c r="H256" i="13" s="1"/>
  <c r="H267" i="13" s="1"/>
  <c r="D85" i="13"/>
  <c r="B85" i="13"/>
  <c r="F83" i="13"/>
  <c r="E83" i="13" s="1"/>
  <c r="F82" i="13"/>
  <c r="E82" i="13" s="1"/>
  <c r="F81" i="13"/>
  <c r="I80" i="13"/>
  <c r="F80" i="13"/>
  <c r="E80" i="13" s="1"/>
  <c r="F79" i="13"/>
  <c r="E79" i="13" s="1"/>
  <c r="F78" i="13"/>
  <c r="I78" i="13" s="1"/>
  <c r="F77" i="13"/>
  <c r="E77" i="13" s="1"/>
  <c r="F76" i="13"/>
  <c r="I76" i="13" s="1"/>
  <c r="E76" i="13"/>
  <c r="F75" i="13"/>
  <c r="I75" i="13" s="1"/>
  <c r="F74" i="13"/>
  <c r="I74" i="13" s="1"/>
  <c r="F73" i="13"/>
  <c r="F72" i="13"/>
  <c r="E72" i="13" s="1"/>
  <c r="H68" i="13"/>
  <c r="D68" i="13"/>
  <c r="B68" i="13"/>
  <c r="F66" i="13"/>
  <c r="E66" i="13" s="1"/>
  <c r="F65" i="13"/>
  <c r="F64" i="13"/>
  <c r="I64" i="13" s="1"/>
  <c r="F63" i="13"/>
  <c r="I63" i="13" s="1"/>
  <c r="E63" i="13"/>
  <c r="F62" i="13"/>
  <c r="I62" i="13" s="1"/>
  <c r="E62" i="13"/>
  <c r="I61" i="13"/>
  <c r="F61" i="13"/>
  <c r="E61" i="13" s="1"/>
  <c r="F60" i="13"/>
  <c r="E60" i="13" s="1"/>
  <c r="F59" i="13"/>
  <c r="I59" i="13" s="1"/>
  <c r="E59" i="13"/>
  <c r="F58" i="13"/>
  <c r="E58" i="13" s="1"/>
  <c r="F57" i="13"/>
  <c r="E57" i="13" s="1"/>
  <c r="I56" i="13"/>
  <c r="F56" i="13"/>
  <c r="E56" i="13" s="1"/>
  <c r="F55" i="13"/>
  <c r="I55" i="13" s="1"/>
  <c r="E55" i="13"/>
  <c r="F54" i="13"/>
  <c r="I54" i="13" s="1"/>
  <c r="F53" i="13"/>
  <c r="E53" i="13" s="1"/>
  <c r="H49" i="13"/>
  <c r="D49" i="13"/>
  <c r="B49" i="13"/>
  <c r="F47" i="13"/>
  <c r="E47" i="13" s="1"/>
  <c r="F46" i="13"/>
  <c r="I46" i="13" s="1"/>
  <c r="F45" i="13"/>
  <c r="E45" i="13" s="1"/>
  <c r="H41" i="13"/>
  <c r="D41" i="13"/>
  <c r="B41" i="13"/>
  <c r="I39" i="13"/>
  <c r="E39" i="13"/>
  <c r="F37" i="13"/>
  <c r="E37" i="13" s="1"/>
  <c r="F36" i="13"/>
  <c r="I36" i="13" s="1"/>
  <c r="E36" i="13"/>
  <c r="F35" i="13"/>
  <c r="I35" i="13" s="1"/>
  <c r="F34" i="13"/>
  <c r="E34" i="13" s="1"/>
  <c r="F33" i="13"/>
  <c r="I33" i="13" s="1"/>
  <c r="F32" i="13"/>
  <c r="E32" i="13" s="1"/>
  <c r="F31" i="13"/>
  <c r="F30" i="13"/>
  <c r="I30" i="13" s="1"/>
  <c r="E30" i="13"/>
  <c r="F29" i="13"/>
  <c r="I29" i="13" s="1"/>
  <c r="E29" i="13"/>
  <c r="H25" i="13"/>
  <c r="D25" i="13"/>
  <c r="D160" i="13" s="1"/>
  <c r="B25" i="13"/>
  <c r="I22" i="13"/>
  <c r="E22" i="13"/>
  <c r="F20" i="13"/>
  <c r="I20" i="13" s="1"/>
  <c r="E20" i="13"/>
  <c r="F19" i="13"/>
  <c r="F18" i="13"/>
  <c r="E18" i="13" s="1"/>
  <c r="F17" i="13"/>
  <c r="I17" i="13" s="1"/>
  <c r="F16" i="13"/>
  <c r="E16" i="13" s="1"/>
  <c r="F15" i="13"/>
  <c r="I15" i="13" s="1"/>
  <c r="E15" i="13"/>
  <c r="I10" i="13"/>
  <c r="D399" i="12"/>
  <c r="D395" i="12"/>
  <c r="D384" i="12"/>
  <c r="D375" i="12"/>
  <c r="D374" i="12"/>
  <c r="D376" i="12" s="1"/>
  <c r="D363" i="12"/>
  <c r="D362" i="12"/>
  <c r="D357" i="12"/>
  <c r="D355" i="12"/>
  <c r="D356" i="12" s="1"/>
  <c r="D358" i="12" s="1"/>
  <c r="D349" i="12"/>
  <c r="D330" i="12"/>
  <c r="D342" i="12" s="1"/>
  <c r="D325" i="12"/>
  <c r="F311" i="12"/>
  <c r="I311" i="12" s="1"/>
  <c r="D311" i="12"/>
  <c r="D385" i="12" s="1"/>
  <c r="D386" i="12" s="1"/>
  <c r="F309" i="12"/>
  <c r="E309" i="12"/>
  <c r="F308" i="12"/>
  <c r="E308" i="12" s="1"/>
  <c r="E311" i="12" s="1"/>
  <c r="F307" i="12"/>
  <c r="E307" i="12"/>
  <c r="D298" i="12"/>
  <c r="F296" i="12"/>
  <c r="E296" i="12" s="1"/>
  <c r="F295" i="12"/>
  <c r="E295" i="12" s="1"/>
  <c r="F294" i="12"/>
  <c r="E294" i="12" s="1"/>
  <c r="F293" i="12"/>
  <c r="E293" i="12" s="1"/>
  <c r="F292" i="12"/>
  <c r="E292" i="12" s="1"/>
  <c r="F291" i="12"/>
  <c r="E291" i="12" s="1"/>
  <c r="F290" i="12"/>
  <c r="E290" i="12" s="1"/>
  <c r="F289" i="12"/>
  <c r="E289" i="12" s="1"/>
  <c r="F288" i="12"/>
  <c r="E288" i="12" s="1"/>
  <c r="D279" i="12"/>
  <c r="F278" i="12"/>
  <c r="E278" i="12" s="1"/>
  <c r="F277" i="12"/>
  <c r="E277" i="12" s="1"/>
  <c r="F276" i="12"/>
  <c r="E276" i="12" s="1"/>
  <c r="F275" i="12"/>
  <c r="E275" i="12" s="1"/>
  <c r="F274" i="12"/>
  <c r="D264" i="12"/>
  <c r="F263" i="12"/>
  <c r="I263" i="12" s="1"/>
  <c r="F262" i="12"/>
  <c r="F264" i="12" s="1"/>
  <c r="D253" i="12"/>
  <c r="D350" i="12" s="1"/>
  <c r="D351" i="12" s="1"/>
  <c r="F252" i="12"/>
  <c r="I251" i="12"/>
  <c r="F251" i="12"/>
  <c r="E251" i="12"/>
  <c r="E244" i="12"/>
  <c r="D244" i="12"/>
  <c r="I229" i="12"/>
  <c r="E229" i="12"/>
  <c r="I228" i="12"/>
  <c r="E228" i="12"/>
  <c r="B216" i="12"/>
  <c r="E214" i="12"/>
  <c r="E213" i="12"/>
  <c r="E212" i="12"/>
  <c r="E211" i="12"/>
  <c r="D216" i="12"/>
  <c r="F216" i="12"/>
  <c r="E216" i="12"/>
  <c r="E222" i="12" s="1"/>
  <c r="H199" i="12"/>
  <c r="D199" i="12"/>
  <c r="D221" i="12" s="1"/>
  <c r="I197" i="12"/>
  <c r="E197" i="12"/>
  <c r="F195" i="12"/>
  <c r="E195" i="12" s="1"/>
  <c r="F194" i="12"/>
  <c r="I194" i="12" s="1"/>
  <c r="F193" i="12"/>
  <c r="E193" i="12" s="1"/>
  <c r="F192" i="12"/>
  <c r="E192" i="12" s="1"/>
  <c r="F191" i="12"/>
  <c r="I191" i="12" s="1"/>
  <c r="F188" i="12"/>
  <c r="E188" i="12" s="1"/>
  <c r="F187" i="12"/>
  <c r="I187" i="12" s="1"/>
  <c r="F186" i="12"/>
  <c r="F185" i="12"/>
  <c r="E185" i="12" s="1"/>
  <c r="F182" i="12"/>
  <c r="I182" i="12" s="1"/>
  <c r="F181" i="12"/>
  <c r="E181" i="12" s="1"/>
  <c r="I180" i="12"/>
  <c r="F180" i="12"/>
  <c r="E180" i="12" s="1"/>
  <c r="F177" i="12"/>
  <c r="I177" i="12" s="1"/>
  <c r="F176" i="12"/>
  <c r="F175" i="12"/>
  <c r="I175" i="12" s="1"/>
  <c r="F174" i="12"/>
  <c r="I174" i="12" s="1"/>
  <c r="F173" i="12"/>
  <c r="E173" i="12" s="1"/>
  <c r="F170" i="12"/>
  <c r="I170" i="12" s="1"/>
  <c r="F169" i="12"/>
  <c r="E169" i="12" s="1"/>
  <c r="F168" i="12"/>
  <c r="E168" i="12" s="1"/>
  <c r="F167" i="12"/>
  <c r="F166" i="12"/>
  <c r="H157" i="12"/>
  <c r="D157" i="12"/>
  <c r="I155" i="12"/>
  <c r="E155" i="12"/>
  <c r="F153" i="12"/>
  <c r="E153" i="12" s="1"/>
  <c r="F152" i="12"/>
  <c r="I152" i="12" s="1"/>
  <c r="E152" i="12"/>
  <c r="F151" i="12"/>
  <c r="F157" i="12" s="1"/>
  <c r="I157" i="12" s="1"/>
  <c r="E151" i="12"/>
  <c r="E157" i="12" s="1"/>
  <c r="H147" i="12"/>
  <c r="D147" i="12"/>
  <c r="B147" i="12"/>
  <c r="F145" i="12"/>
  <c r="I145" i="12" s="1"/>
  <c r="F144" i="12"/>
  <c r="E144" i="12" s="1"/>
  <c r="F143" i="12"/>
  <c r="I143" i="12" s="1"/>
  <c r="E143" i="12"/>
  <c r="I142" i="12"/>
  <c r="F142" i="12"/>
  <c r="E142" i="12" s="1"/>
  <c r="F141" i="12"/>
  <c r="I141" i="12" s="1"/>
  <c r="F140" i="12"/>
  <c r="I140" i="12" s="1"/>
  <c r="F139" i="12"/>
  <c r="E139" i="12" s="1"/>
  <c r="F138" i="12"/>
  <c r="I138" i="12" s="1"/>
  <c r="F137" i="12"/>
  <c r="I137" i="12" s="1"/>
  <c r="F136" i="12"/>
  <c r="H132" i="12"/>
  <c r="D132" i="12"/>
  <c r="I130" i="12"/>
  <c r="E130" i="12"/>
  <c r="F128" i="12"/>
  <c r="I128" i="12" s="1"/>
  <c r="F127" i="12"/>
  <c r="F126" i="12"/>
  <c r="E126" i="12" s="1"/>
  <c r="H123" i="12"/>
  <c r="D123" i="12"/>
  <c r="I121" i="12"/>
  <c r="E121" i="12"/>
  <c r="F119" i="12"/>
  <c r="I119" i="12" s="1"/>
  <c r="E119" i="12"/>
  <c r="F118" i="12"/>
  <c r="I118" i="12" s="1"/>
  <c r="F117" i="12"/>
  <c r="F116" i="12"/>
  <c r="I116" i="12" s="1"/>
  <c r="F115" i="12"/>
  <c r="I115" i="12" s="1"/>
  <c r="F114" i="12"/>
  <c r="I114" i="12" s="1"/>
  <c r="F113" i="12"/>
  <c r="I113" i="12" s="1"/>
  <c r="F112" i="12"/>
  <c r="E112" i="12" s="1"/>
  <c r="F111" i="12"/>
  <c r="F110" i="12"/>
  <c r="I110" i="12" s="1"/>
  <c r="H106" i="12"/>
  <c r="D106" i="12"/>
  <c r="B106" i="12"/>
  <c r="F104" i="12"/>
  <c r="I104" i="12" s="1"/>
  <c r="E104" i="12"/>
  <c r="F103" i="12"/>
  <c r="I103" i="12" s="1"/>
  <c r="F102" i="12"/>
  <c r="F101" i="12"/>
  <c r="E101" i="12" s="1"/>
  <c r="F100" i="12"/>
  <c r="I100" i="12" s="1"/>
  <c r="F99" i="12"/>
  <c r="I99" i="12" s="1"/>
  <c r="F98" i="12"/>
  <c r="H94" i="12"/>
  <c r="D94" i="12"/>
  <c r="B94" i="12"/>
  <c r="F92" i="12"/>
  <c r="I92" i="12" s="1"/>
  <c r="E92" i="12"/>
  <c r="F91" i="12"/>
  <c r="F90" i="12"/>
  <c r="E90" i="12" s="1"/>
  <c r="F89" i="12"/>
  <c r="I89" i="12" s="1"/>
  <c r="H85" i="12"/>
  <c r="H160" i="12" s="1"/>
  <c r="H233" i="12" s="1"/>
  <c r="H256" i="12" s="1"/>
  <c r="H267" i="12" s="1"/>
  <c r="D85" i="12"/>
  <c r="B85" i="12"/>
  <c r="F83" i="12"/>
  <c r="I83" i="12" s="1"/>
  <c r="E83" i="12"/>
  <c r="F82" i="12"/>
  <c r="F81" i="12"/>
  <c r="I81" i="12" s="1"/>
  <c r="F80" i="12"/>
  <c r="I80" i="12" s="1"/>
  <c r="F79" i="12"/>
  <c r="E79" i="12" s="1"/>
  <c r="F78" i="12"/>
  <c r="I78" i="12" s="1"/>
  <c r="F77" i="12"/>
  <c r="I77" i="12" s="1"/>
  <c r="F76" i="12"/>
  <c r="F75" i="12"/>
  <c r="F74" i="12"/>
  <c r="F73" i="12"/>
  <c r="I73" i="12" s="1"/>
  <c r="F72" i="12"/>
  <c r="H68" i="12"/>
  <c r="D68" i="12"/>
  <c r="B68" i="12"/>
  <c r="F66" i="12"/>
  <c r="I66" i="12" s="1"/>
  <c r="F65" i="12"/>
  <c r="F64" i="12"/>
  <c r="I64" i="12" s="1"/>
  <c r="F63" i="12"/>
  <c r="F62" i="12"/>
  <c r="I62" i="12" s="1"/>
  <c r="F61" i="12"/>
  <c r="I61" i="12" s="1"/>
  <c r="F60" i="12"/>
  <c r="E60" i="12" s="1"/>
  <c r="F59" i="12"/>
  <c r="I59" i="12" s="1"/>
  <c r="F58" i="12"/>
  <c r="I58" i="12" s="1"/>
  <c r="F57" i="12"/>
  <c r="F56" i="12"/>
  <c r="F55" i="12"/>
  <c r="F54" i="12"/>
  <c r="I54" i="12" s="1"/>
  <c r="E54" i="12"/>
  <c r="F53" i="12"/>
  <c r="H49" i="12"/>
  <c r="D49" i="12"/>
  <c r="B49" i="12"/>
  <c r="F47" i="12"/>
  <c r="I47" i="12" s="1"/>
  <c r="F46" i="12"/>
  <c r="F45" i="12"/>
  <c r="F49" i="12" s="1"/>
  <c r="I49" i="12" s="1"/>
  <c r="E45" i="12"/>
  <c r="H41" i="12"/>
  <c r="D41" i="12"/>
  <c r="B41" i="12"/>
  <c r="I39" i="12"/>
  <c r="E39" i="12"/>
  <c r="F37" i="12"/>
  <c r="I37" i="12" s="1"/>
  <c r="E37" i="12"/>
  <c r="F36" i="12"/>
  <c r="E36" i="12" s="1"/>
  <c r="F35" i="12"/>
  <c r="F34" i="12"/>
  <c r="E34" i="12" s="1"/>
  <c r="F33" i="12"/>
  <c r="I33" i="12" s="1"/>
  <c r="F32" i="12"/>
  <c r="I32" i="12" s="1"/>
  <c r="F31" i="12"/>
  <c r="E31" i="12" s="1"/>
  <c r="F30" i="12"/>
  <c r="E30" i="12" s="1"/>
  <c r="F29" i="12"/>
  <c r="I29" i="12" s="1"/>
  <c r="H25" i="12"/>
  <c r="D25" i="12"/>
  <c r="D160" i="12" s="1"/>
  <c r="D326" i="12" s="1"/>
  <c r="D327" i="12" s="1"/>
  <c r="B25" i="12"/>
  <c r="I22" i="12"/>
  <c r="E22" i="12"/>
  <c r="F20" i="12"/>
  <c r="I20" i="12" s="1"/>
  <c r="F19" i="12"/>
  <c r="F18" i="12"/>
  <c r="E18" i="12" s="1"/>
  <c r="F17" i="12"/>
  <c r="I17" i="12" s="1"/>
  <c r="I16" i="12"/>
  <c r="F15" i="12"/>
  <c r="E15" i="12" s="1"/>
  <c r="I10" i="12"/>
  <c r="E70" i="11"/>
  <c r="E69" i="11"/>
  <c r="E45" i="11"/>
  <c r="E46" i="11" s="1"/>
  <c r="I44" i="11"/>
  <c r="G44" i="11" s="1"/>
  <c r="I43" i="11"/>
  <c r="G43" i="11"/>
  <c r="I42" i="11"/>
  <c r="G42" i="11"/>
  <c r="I41" i="11"/>
  <c r="G41" i="11"/>
  <c r="I40" i="11"/>
  <c r="G40" i="11" s="1"/>
  <c r="I39" i="11"/>
  <c r="G39" i="11"/>
  <c r="I38" i="11"/>
  <c r="G38" i="11"/>
  <c r="I37" i="11"/>
  <c r="G37" i="11"/>
  <c r="I36" i="11"/>
  <c r="G36" i="11" s="1"/>
  <c r="I35" i="11"/>
  <c r="G35" i="11"/>
  <c r="I34" i="11"/>
  <c r="I46" i="11" s="1"/>
  <c r="G34" i="11"/>
  <c r="E28" i="11"/>
  <c r="I27" i="11"/>
  <c r="G27" i="11"/>
  <c r="I26" i="11"/>
  <c r="G26" i="11"/>
  <c r="I25" i="11"/>
  <c r="I28" i="11" s="1"/>
  <c r="I24" i="11"/>
  <c r="G24" i="11" s="1"/>
  <c r="I21" i="11"/>
  <c r="E70" i="10"/>
  <c r="E69" i="10"/>
  <c r="E45" i="10"/>
  <c r="E46" i="10" s="1"/>
  <c r="I44" i="10"/>
  <c r="G44" i="10" s="1"/>
  <c r="I43" i="10"/>
  <c r="G43" i="10"/>
  <c r="I42" i="10"/>
  <c r="G42" i="10"/>
  <c r="I41" i="10"/>
  <c r="G41" i="10"/>
  <c r="I40" i="10"/>
  <c r="G40" i="10" s="1"/>
  <c r="I39" i="10"/>
  <c r="G39" i="10"/>
  <c r="I38" i="10"/>
  <c r="G38" i="10"/>
  <c r="I37" i="10"/>
  <c r="G37" i="10"/>
  <c r="I36" i="10"/>
  <c r="G36" i="10" s="1"/>
  <c r="I35" i="10"/>
  <c r="G35" i="10"/>
  <c r="I34" i="10"/>
  <c r="I46" i="10" s="1"/>
  <c r="G34" i="10"/>
  <c r="E28" i="10"/>
  <c r="I27" i="10"/>
  <c r="G27" i="10"/>
  <c r="I26" i="10"/>
  <c r="G26" i="10"/>
  <c r="I25" i="10"/>
  <c r="G25" i="10" s="1"/>
  <c r="I24" i="10"/>
  <c r="G24" i="10" s="1"/>
  <c r="G28" i="10" s="1"/>
  <c r="I21" i="10"/>
  <c r="E70" i="9"/>
  <c r="E69" i="9"/>
  <c r="E45" i="9"/>
  <c r="G45" i="9" s="1"/>
  <c r="I44" i="9"/>
  <c r="G44" i="9" s="1"/>
  <c r="I43" i="9"/>
  <c r="G43" i="9" s="1"/>
  <c r="I42" i="9"/>
  <c r="G42" i="9"/>
  <c r="I41" i="9"/>
  <c r="G41" i="9"/>
  <c r="I40" i="9"/>
  <c r="G40" i="9" s="1"/>
  <c r="I39" i="9"/>
  <c r="G39" i="9" s="1"/>
  <c r="I38" i="9"/>
  <c r="G38" i="9"/>
  <c r="I37" i="9"/>
  <c r="G37" i="9"/>
  <c r="I36" i="9"/>
  <c r="G36" i="9" s="1"/>
  <c r="I35" i="9"/>
  <c r="G35" i="9"/>
  <c r="I34" i="9"/>
  <c r="I46" i="9" s="1"/>
  <c r="G34" i="9"/>
  <c r="E28" i="9"/>
  <c r="I27" i="9"/>
  <c r="G27" i="9"/>
  <c r="I26" i="9"/>
  <c r="G26" i="9"/>
  <c r="I25" i="9"/>
  <c r="I28" i="9" s="1"/>
  <c r="I24" i="9"/>
  <c r="G24" i="9" s="1"/>
  <c r="I21" i="9"/>
  <c r="I31" i="14" l="1"/>
  <c r="I101" i="14"/>
  <c r="F147" i="14"/>
  <c r="I147" i="14" s="1"/>
  <c r="I139" i="14"/>
  <c r="I31" i="12"/>
  <c r="F147" i="12"/>
  <c r="I147" i="12" s="1"/>
  <c r="F132" i="12"/>
  <c r="I132" i="12" s="1"/>
  <c r="E29" i="12"/>
  <c r="E115" i="12"/>
  <c r="I153" i="12"/>
  <c r="E103" i="13"/>
  <c r="E116" i="13"/>
  <c r="E141" i="13"/>
  <c r="E166" i="13"/>
  <c r="I180" i="13"/>
  <c r="E188" i="13"/>
  <c r="E64" i="14"/>
  <c r="I66" i="14"/>
  <c r="I112" i="14"/>
  <c r="E117" i="14"/>
  <c r="I127" i="14"/>
  <c r="E144" i="14"/>
  <c r="E187" i="14"/>
  <c r="F12" i="15"/>
  <c r="F22" i="15" s="1"/>
  <c r="I12" i="15"/>
  <c r="I113" i="14"/>
  <c r="I91" i="14"/>
  <c r="E132" i="14"/>
  <c r="I136" i="14"/>
  <c r="I126" i="12"/>
  <c r="I137" i="13"/>
  <c r="I80" i="14"/>
  <c r="I102" i="14"/>
  <c r="I173" i="14"/>
  <c r="I186" i="13"/>
  <c r="I18" i="14"/>
  <c r="H282" i="14"/>
  <c r="E62" i="14"/>
  <c r="I126" i="14"/>
  <c r="I185" i="14"/>
  <c r="I79" i="14"/>
  <c r="I60" i="14"/>
  <c r="I83" i="13"/>
  <c r="E17" i="12"/>
  <c r="E33" i="12"/>
  <c r="E64" i="12"/>
  <c r="E73" i="12"/>
  <c r="E114" i="12"/>
  <c r="E128" i="12"/>
  <c r="E64" i="13"/>
  <c r="E187" i="13"/>
  <c r="I174" i="14"/>
  <c r="I195" i="14"/>
  <c r="I57" i="13"/>
  <c r="I36" i="12"/>
  <c r="I17" i="14"/>
  <c r="E144" i="13"/>
  <c r="E152" i="13"/>
  <c r="E56" i="14"/>
  <c r="E78" i="14"/>
  <c r="F106" i="14"/>
  <c r="I106" i="14" s="1"/>
  <c r="I186" i="14"/>
  <c r="D388" i="12"/>
  <c r="I25" i="14"/>
  <c r="D222" i="14"/>
  <c r="I19" i="13"/>
  <c r="E19" i="13"/>
  <c r="I111" i="12"/>
  <c r="E111" i="12"/>
  <c r="I35" i="12"/>
  <c r="E35" i="12"/>
  <c r="I75" i="12"/>
  <c r="E75" i="12"/>
  <c r="I73" i="13"/>
  <c r="E73" i="13"/>
  <c r="I119" i="13"/>
  <c r="E119" i="13"/>
  <c r="F68" i="14"/>
  <c r="I68" i="14" s="1"/>
  <c r="E53" i="14"/>
  <c r="E153" i="14"/>
  <c r="I153" i="14"/>
  <c r="I53" i="12"/>
  <c r="E53" i="12"/>
  <c r="I188" i="12"/>
  <c r="I32" i="13"/>
  <c r="I37" i="13"/>
  <c r="E46" i="13"/>
  <c r="E49" i="13" s="1"/>
  <c r="I53" i="13"/>
  <c r="E65" i="13"/>
  <c r="I65" i="13"/>
  <c r="E74" i="13"/>
  <c r="E78" i="13"/>
  <c r="I82" i="13"/>
  <c r="E110" i="13"/>
  <c r="I110" i="13"/>
  <c r="I168" i="13"/>
  <c r="E17" i="14"/>
  <c r="E25" i="14" s="1"/>
  <c r="F41" i="14"/>
  <c r="I41" i="14" s="1"/>
  <c r="E29" i="14"/>
  <c r="I29" i="14"/>
  <c r="I35" i="14"/>
  <c r="I53" i="14"/>
  <c r="F94" i="14"/>
  <c r="I94" i="14" s="1"/>
  <c r="E103" i="14"/>
  <c r="I119" i="14"/>
  <c r="I143" i="14"/>
  <c r="E166" i="14"/>
  <c r="F199" i="14"/>
  <c r="I166" i="14"/>
  <c r="I252" i="14"/>
  <c r="E252" i="14"/>
  <c r="E30" i="14"/>
  <c r="E36" i="14"/>
  <c r="E45" i="14"/>
  <c r="E49" i="14" s="1"/>
  <c r="E54" i="14"/>
  <c r="E74" i="14"/>
  <c r="I74" i="14"/>
  <c r="E100" i="14"/>
  <c r="E167" i="14"/>
  <c r="F216" i="14"/>
  <c r="D364" i="14"/>
  <c r="D365" i="14"/>
  <c r="I140" i="13"/>
  <c r="E140" i="13"/>
  <c r="I169" i="13"/>
  <c r="E75" i="14"/>
  <c r="E81" i="14"/>
  <c r="F85" i="14"/>
  <c r="I85" i="14" s="1"/>
  <c r="E104" i="14"/>
  <c r="I104" i="14"/>
  <c r="E114" i="14"/>
  <c r="E123" i="14" s="1"/>
  <c r="I140" i="14"/>
  <c r="E176" i="14"/>
  <c r="I176" i="14"/>
  <c r="E37" i="14"/>
  <c r="I37" i="14"/>
  <c r="I45" i="14"/>
  <c r="E55" i="14"/>
  <c r="I55" i="14"/>
  <c r="I61" i="14"/>
  <c r="F157" i="14"/>
  <c r="I157" i="14" s="1"/>
  <c r="E151" i="14"/>
  <c r="E216" i="14"/>
  <c r="E222" i="14" s="1"/>
  <c r="E82" i="14"/>
  <c r="I82" i="14"/>
  <c r="F123" i="14"/>
  <c r="I123" i="14" s="1"/>
  <c r="I151" i="14"/>
  <c r="E188" i="14"/>
  <c r="I188" i="14"/>
  <c r="D388" i="14"/>
  <c r="D351" i="14"/>
  <c r="E117" i="12"/>
  <c r="I117" i="12"/>
  <c r="I66" i="13"/>
  <c r="E55" i="12"/>
  <c r="I55" i="12"/>
  <c r="E63" i="12"/>
  <c r="I63" i="12"/>
  <c r="I72" i="12"/>
  <c r="E72" i="12"/>
  <c r="I56" i="12"/>
  <c r="E56" i="12"/>
  <c r="D160" i="14"/>
  <c r="E166" i="12"/>
  <c r="I166" i="12"/>
  <c r="I186" i="12"/>
  <c r="E186" i="12"/>
  <c r="I81" i="13"/>
  <c r="E81" i="13"/>
  <c r="I136" i="13"/>
  <c r="I174" i="13"/>
  <c r="E174" i="13"/>
  <c r="E253" i="13"/>
  <c r="E279" i="13"/>
  <c r="E85" i="14"/>
  <c r="E94" i="14"/>
  <c r="E142" i="14"/>
  <c r="E147" i="14" s="1"/>
  <c r="I142" i="14"/>
  <c r="E126" i="13"/>
  <c r="I126" i="13"/>
  <c r="I192" i="13"/>
  <c r="E115" i="14"/>
  <c r="I115" i="14"/>
  <c r="E176" i="12"/>
  <c r="I176" i="12"/>
  <c r="E74" i="12"/>
  <c r="I74" i="12"/>
  <c r="E82" i="12"/>
  <c r="I82" i="12"/>
  <c r="I91" i="12"/>
  <c r="E91" i="12"/>
  <c r="E100" i="12"/>
  <c r="I167" i="12"/>
  <c r="E167" i="12"/>
  <c r="E177" i="12"/>
  <c r="E31" i="13"/>
  <c r="E41" i="13" s="1"/>
  <c r="I31" i="13"/>
  <c r="E89" i="13"/>
  <c r="F94" i="13"/>
  <c r="I94" i="13" s="1"/>
  <c r="E128" i="13"/>
  <c r="I167" i="13"/>
  <c r="E167" i="13"/>
  <c r="E175" i="13"/>
  <c r="I19" i="14"/>
  <c r="E63" i="14"/>
  <c r="I63" i="14"/>
  <c r="I72" i="14"/>
  <c r="E194" i="14"/>
  <c r="D244" i="14"/>
  <c r="D343" i="14" s="1"/>
  <c r="D344" i="14" s="1"/>
  <c r="F298" i="14"/>
  <c r="E290" i="14"/>
  <c r="E298" i="14" s="1"/>
  <c r="F264" i="14"/>
  <c r="F157" i="13"/>
  <c r="I157" i="13" s="1"/>
  <c r="E298" i="13"/>
  <c r="I251" i="14"/>
  <c r="E274" i="14"/>
  <c r="E279" i="14" s="1"/>
  <c r="E20" i="12"/>
  <c r="E62" i="12"/>
  <c r="E81" i="12"/>
  <c r="E103" i="12"/>
  <c r="E140" i="12"/>
  <c r="E175" i="12"/>
  <c r="E191" i="12"/>
  <c r="E263" i="12"/>
  <c r="E35" i="13"/>
  <c r="E54" i="13"/>
  <c r="E68" i="13" s="1"/>
  <c r="E75" i="13"/>
  <c r="E91" i="13"/>
  <c r="E102" i="13"/>
  <c r="E114" i="13"/>
  <c r="E138" i="13"/>
  <c r="E147" i="13" s="1"/>
  <c r="E170" i="13"/>
  <c r="E182" i="13"/>
  <c r="F279" i="13"/>
  <c r="H282" i="13" s="1"/>
  <c r="E251" i="14"/>
  <c r="D326" i="13"/>
  <c r="D327" i="13" s="1"/>
  <c r="D220" i="13"/>
  <c r="I102" i="12"/>
  <c r="E102" i="12"/>
  <c r="I19" i="12"/>
  <c r="E19" i="12"/>
  <c r="E80" i="12"/>
  <c r="E141" i="12"/>
  <c r="E174" i="12"/>
  <c r="E17" i="13"/>
  <c r="F199" i="13"/>
  <c r="F216" i="13"/>
  <c r="D244" i="13"/>
  <c r="D343" i="13" s="1"/>
  <c r="D344" i="13" s="1"/>
  <c r="F253" i="12"/>
  <c r="E252" i="12"/>
  <c r="F132" i="13"/>
  <c r="I132" i="13" s="1"/>
  <c r="D222" i="13"/>
  <c r="F298" i="13"/>
  <c r="D388" i="13"/>
  <c r="E33" i="13"/>
  <c r="I47" i="13"/>
  <c r="E111" i="13"/>
  <c r="I127" i="13"/>
  <c r="F41" i="13"/>
  <c r="I41" i="13" s="1"/>
  <c r="I77" i="13"/>
  <c r="F123" i="13"/>
  <c r="I123" i="13" s="1"/>
  <c r="I145" i="13"/>
  <c r="I181" i="13"/>
  <c r="I168" i="12"/>
  <c r="F264" i="13"/>
  <c r="E262" i="13"/>
  <c r="E264" i="13" s="1"/>
  <c r="F49" i="13"/>
  <c r="I49" i="13" s="1"/>
  <c r="F25" i="13"/>
  <c r="I45" i="13"/>
  <c r="I58" i="13"/>
  <c r="F85" i="13"/>
  <c r="I85" i="13" s="1"/>
  <c r="F147" i="13"/>
  <c r="I147" i="13" s="1"/>
  <c r="I193" i="13"/>
  <c r="I262" i="13"/>
  <c r="E76" i="12"/>
  <c r="I76" i="12"/>
  <c r="E46" i="12"/>
  <c r="I46" i="12"/>
  <c r="I192" i="12"/>
  <c r="I72" i="13"/>
  <c r="D364" i="13"/>
  <c r="D365" i="13" s="1"/>
  <c r="I136" i="12"/>
  <c r="E57" i="12"/>
  <c r="I57" i="12"/>
  <c r="F106" i="12"/>
  <c r="I106" i="12" s="1"/>
  <c r="I118" i="13"/>
  <c r="I98" i="12"/>
  <c r="I15" i="12"/>
  <c r="E61" i="12"/>
  <c r="E65" i="12"/>
  <c r="I65" i="12"/>
  <c r="I144" i="12"/>
  <c r="E187" i="12"/>
  <c r="I16" i="13"/>
  <c r="F68" i="13"/>
  <c r="I68" i="13" s="1"/>
  <c r="F106" i="13"/>
  <c r="I106" i="13" s="1"/>
  <c r="E99" i="13"/>
  <c r="E151" i="13"/>
  <c r="E157" i="13" s="1"/>
  <c r="E191" i="13"/>
  <c r="E216" i="13"/>
  <c r="E222" i="13" s="1"/>
  <c r="F253" i="13"/>
  <c r="I252" i="13"/>
  <c r="F279" i="12"/>
  <c r="H282" i="12" s="1"/>
  <c r="I18" i="13"/>
  <c r="I34" i="13"/>
  <c r="I60" i="13"/>
  <c r="I79" i="13"/>
  <c r="I90" i="13"/>
  <c r="I101" i="13"/>
  <c r="I112" i="13"/>
  <c r="I139" i="13"/>
  <c r="I173" i="13"/>
  <c r="I185" i="13"/>
  <c r="I195" i="13"/>
  <c r="E253" i="12"/>
  <c r="F41" i="12"/>
  <c r="I41" i="12" s="1"/>
  <c r="E138" i="12"/>
  <c r="E170" i="12"/>
  <c r="E182" i="12"/>
  <c r="E194" i="12"/>
  <c r="E59" i="12"/>
  <c r="E78" i="12"/>
  <c r="E89" i="12"/>
  <c r="E113" i="12"/>
  <c r="E116" i="12"/>
  <c r="F199" i="12"/>
  <c r="F221" i="12" s="1"/>
  <c r="H221" i="12" s="1"/>
  <c r="E274" i="12"/>
  <c r="E279" i="12" s="1"/>
  <c r="I216" i="12"/>
  <c r="F222" i="12"/>
  <c r="D343" i="12"/>
  <c r="D344" i="12" s="1"/>
  <c r="D222" i="12"/>
  <c r="E298" i="12"/>
  <c r="F94" i="12"/>
  <c r="I94" i="12" s="1"/>
  <c r="I127" i="12"/>
  <c r="I169" i="12"/>
  <c r="I181" i="12"/>
  <c r="I193" i="12"/>
  <c r="I262" i="12"/>
  <c r="F298" i="12"/>
  <c r="F25" i="12"/>
  <c r="E16" i="12"/>
  <c r="E25" i="12" s="1"/>
  <c r="I18" i="12"/>
  <c r="E32" i="12"/>
  <c r="I34" i="12"/>
  <c r="E47" i="12"/>
  <c r="E49" i="12" s="1"/>
  <c r="E58" i="12"/>
  <c r="I60" i="12"/>
  <c r="E66" i="12"/>
  <c r="E77" i="12"/>
  <c r="I79" i="12"/>
  <c r="F85" i="12"/>
  <c r="I85" i="12" s="1"/>
  <c r="I90" i="12"/>
  <c r="E99" i="12"/>
  <c r="I101" i="12"/>
  <c r="E110" i="12"/>
  <c r="I112" i="12"/>
  <c r="E118" i="12"/>
  <c r="E127" i="12"/>
  <c r="E132" i="12" s="1"/>
  <c r="E137" i="12"/>
  <c r="I139" i="12"/>
  <c r="E145" i="12"/>
  <c r="I173" i="12"/>
  <c r="I185" i="12"/>
  <c r="I195" i="12"/>
  <c r="D220" i="12"/>
  <c r="E262" i="12"/>
  <c r="E264" i="12" s="1"/>
  <c r="D364" i="12"/>
  <c r="D365" i="12" s="1"/>
  <c r="I252" i="12"/>
  <c r="E98" i="12"/>
  <c r="E136" i="12"/>
  <c r="F123" i="12"/>
  <c r="I123" i="12" s="1"/>
  <c r="I151" i="12"/>
  <c r="I30" i="12"/>
  <c r="I45" i="12"/>
  <c r="F68" i="12"/>
  <c r="I68" i="12" s="1"/>
  <c r="I31" i="11"/>
  <c r="I49" i="11" s="1"/>
  <c r="G45" i="11"/>
  <c r="G46" i="11" s="1"/>
  <c r="G47" i="11" s="1"/>
  <c r="G25" i="11"/>
  <c r="G28" i="11" s="1"/>
  <c r="G45" i="10"/>
  <c r="G46" i="10" s="1"/>
  <c r="I28" i="10"/>
  <c r="G46" i="9"/>
  <c r="G47" i="9" s="1"/>
  <c r="I31" i="9"/>
  <c r="I49" i="9" s="1"/>
  <c r="G25" i="9"/>
  <c r="G28" i="9" s="1"/>
  <c r="E46" i="9"/>
  <c r="E85" i="13" l="1"/>
  <c r="E132" i="13"/>
  <c r="E94" i="13"/>
  <c r="E106" i="14"/>
  <c r="E160" i="14" s="1"/>
  <c r="E220" i="14" s="1"/>
  <c r="E223" i="14" s="1"/>
  <c r="E199" i="13"/>
  <c r="E221" i="13" s="1"/>
  <c r="E25" i="13"/>
  <c r="E253" i="14"/>
  <c r="D223" i="12"/>
  <c r="D233" i="12" s="1"/>
  <c r="D246" i="12" s="1"/>
  <c r="D256" i="12" s="1"/>
  <c r="D267" i="12" s="1"/>
  <c r="E85" i="12"/>
  <c r="I199" i="12"/>
  <c r="E68" i="12"/>
  <c r="E157" i="14"/>
  <c r="I216" i="14"/>
  <c r="F222" i="14"/>
  <c r="E199" i="14"/>
  <c r="E221" i="14" s="1"/>
  <c r="E106" i="13"/>
  <c r="D326" i="14"/>
  <c r="D327" i="14" s="1"/>
  <c r="D220" i="14"/>
  <c r="D223" i="14" s="1"/>
  <c r="D233" i="14" s="1"/>
  <c r="D246" i="14" s="1"/>
  <c r="D256" i="14" s="1"/>
  <c r="D267" i="14" s="1"/>
  <c r="D282" i="14" s="1"/>
  <c r="D302" i="14" s="1"/>
  <c r="D314" i="14" s="1"/>
  <c r="D389" i="14" s="1"/>
  <c r="I199" i="14"/>
  <c r="F221" i="14"/>
  <c r="H221" i="14" s="1"/>
  <c r="E68" i="14"/>
  <c r="F160" i="14"/>
  <c r="E41" i="12"/>
  <c r="E94" i="12"/>
  <c r="E199" i="12"/>
  <c r="E221" i="12" s="1"/>
  <c r="E123" i="13"/>
  <c r="E41" i="14"/>
  <c r="I298" i="14"/>
  <c r="I199" i="13"/>
  <c r="F221" i="13"/>
  <c r="H221" i="13" s="1"/>
  <c r="I298" i="13"/>
  <c r="I216" i="13"/>
  <c r="F222" i="13"/>
  <c r="E106" i="12"/>
  <c r="D223" i="13"/>
  <c r="D233" i="13" s="1"/>
  <c r="D246" i="13" s="1"/>
  <c r="D256" i="13" s="1"/>
  <c r="D267" i="13" s="1"/>
  <c r="D282" i="13" s="1"/>
  <c r="D302" i="13" s="1"/>
  <c r="D314" i="13" s="1"/>
  <c r="D389" i="13" s="1"/>
  <c r="I25" i="13"/>
  <c r="F160" i="13"/>
  <c r="E147" i="12"/>
  <c r="F160" i="12"/>
  <c r="I25" i="12"/>
  <c r="E123" i="12"/>
  <c r="I298" i="12"/>
  <c r="G29" i="11"/>
  <c r="E52" i="11"/>
  <c r="G47" i="10"/>
  <c r="I31" i="10"/>
  <c r="I49" i="10" s="1"/>
  <c r="G29" i="10"/>
  <c r="G29" i="9"/>
  <c r="E52" i="9"/>
  <c r="I52" i="9" s="1"/>
  <c r="E63" i="9"/>
  <c r="D282" i="12" l="1"/>
  <c r="D302" i="12" s="1"/>
  <c r="D314" i="12" s="1"/>
  <c r="D389" i="12" s="1"/>
  <c r="D390" i="12" s="1"/>
  <c r="C7" i="15"/>
  <c r="E160" i="13"/>
  <c r="E220" i="13" s="1"/>
  <c r="E223" i="13" s="1"/>
  <c r="E233" i="13" s="1"/>
  <c r="D390" i="14"/>
  <c r="E233" i="14"/>
  <c r="E160" i="12"/>
  <c r="E220" i="12" s="1"/>
  <c r="E223" i="12" s="1"/>
  <c r="E233" i="12" s="1"/>
  <c r="I160" i="14"/>
  <c r="J160" i="14" s="1"/>
  <c r="F220" i="14"/>
  <c r="I160" i="13"/>
  <c r="J160" i="13" s="1"/>
  <c r="F220" i="13"/>
  <c r="D390" i="13"/>
  <c r="I160" i="12"/>
  <c r="J160" i="12" s="1"/>
  <c r="F220" i="12"/>
  <c r="I52" i="11"/>
  <c r="E63" i="11"/>
  <c r="E52" i="10"/>
  <c r="I57" i="9"/>
  <c r="G52" i="9"/>
  <c r="I63" i="9"/>
  <c r="I64" i="9" s="1"/>
  <c r="I53" i="9"/>
  <c r="E246" i="14" l="1"/>
  <c r="F223" i="14"/>
  <c r="H220" i="14" s="1"/>
  <c r="E246" i="13"/>
  <c r="F223" i="13"/>
  <c r="F223" i="12"/>
  <c r="H220" i="12" s="1"/>
  <c r="E246" i="12"/>
  <c r="I57" i="11"/>
  <c r="G52" i="11"/>
  <c r="I63" i="11"/>
  <c r="I64" i="11" s="1"/>
  <c r="I53" i="11"/>
  <c r="I52" i="10"/>
  <c r="E63" i="10"/>
  <c r="G53" i="9"/>
  <c r="G63" i="9"/>
  <c r="G64" i="9" s="1"/>
  <c r="G57" i="9"/>
  <c r="G58" i="9" s="1"/>
  <c r="I58" i="9"/>
  <c r="E224" i="14" l="1"/>
  <c r="F230" i="14"/>
  <c r="F233" i="14"/>
  <c r="F225" i="14"/>
  <c r="H222" i="14" s="1"/>
  <c r="E225" i="14"/>
  <c r="E256" i="14"/>
  <c r="E224" i="13"/>
  <c r="F230" i="13"/>
  <c r="F233" i="13"/>
  <c r="F225" i="13"/>
  <c r="H222" i="13" s="1"/>
  <c r="E225" i="13"/>
  <c r="H220" i="13"/>
  <c r="E256" i="13"/>
  <c r="E256" i="12"/>
  <c r="E224" i="12"/>
  <c r="F230" i="12"/>
  <c r="F233" i="12"/>
  <c r="F225" i="12"/>
  <c r="H222" i="12" s="1"/>
  <c r="E225" i="12"/>
  <c r="G53" i="11"/>
  <c r="G63" i="11"/>
  <c r="G64" i="11" s="1"/>
  <c r="G57" i="11"/>
  <c r="G58" i="11" s="1"/>
  <c r="I58" i="11"/>
  <c r="I57" i="10"/>
  <c r="G52" i="10"/>
  <c r="I63" i="10"/>
  <c r="I64" i="10" s="1"/>
  <c r="I53" i="10"/>
  <c r="E267" i="14" l="1"/>
  <c r="D9" i="15" s="1"/>
  <c r="F235" i="14"/>
  <c r="E234" i="14"/>
  <c r="F246" i="14"/>
  <c r="I233" i="14"/>
  <c r="E235" i="14"/>
  <c r="E267" i="13"/>
  <c r="D8" i="15" s="1"/>
  <c r="F235" i="13"/>
  <c r="E234" i="13"/>
  <c r="I233" i="13"/>
  <c r="F246" i="13"/>
  <c r="E235" i="13"/>
  <c r="F235" i="12"/>
  <c r="I233" i="12"/>
  <c r="E234" i="12"/>
  <c r="F246" i="12"/>
  <c r="E235" i="12"/>
  <c r="E267" i="12"/>
  <c r="D7" i="15" s="1"/>
  <c r="G53" i="10"/>
  <c r="G63" i="10"/>
  <c r="G64" i="10" s="1"/>
  <c r="G57" i="10"/>
  <c r="G58" i="10" s="1"/>
  <c r="I58" i="10"/>
  <c r="F248" i="14" l="1"/>
  <c r="E247" i="14"/>
  <c r="F256" i="14"/>
  <c r="E248" i="14"/>
  <c r="E302" i="14"/>
  <c r="E282" i="14"/>
  <c r="F248" i="13"/>
  <c r="E247" i="13"/>
  <c r="F256" i="13"/>
  <c r="E248" i="13"/>
  <c r="E302" i="13"/>
  <c r="E282" i="13"/>
  <c r="E282" i="12"/>
  <c r="E302" i="12"/>
  <c r="F248" i="12"/>
  <c r="E247" i="12"/>
  <c r="F256" i="12"/>
  <c r="E248" i="12"/>
  <c r="E314" i="14" l="1"/>
  <c r="F258" i="14"/>
  <c r="E257" i="14"/>
  <c r="I256" i="14"/>
  <c r="F267" i="14"/>
  <c r="E9" i="15" s="1"/>
  <c r="E258" i="14"/>
  <c r="E314" i="13"/>
  <c r="F258" i="13"/>
  <c r="I256" i="13"/>
  <c r="E257" i="13"/>
  <c r="F267" i="13"/>
  <c r="E8" i="15" s="1"/>
  <c r="E258" i="13"/>
  <c r="F258" i="12"/>
  <c r="E257" i="12"/>
  <c r="I256" i="12"/>
  <c r="F267" i="12"/>
  <c r="E7" i="15" s="1"/>
  <c r="E258" i="12"/>
  <c r="E314" i="12"/>
  <c r="J9" i="15" l="1"/>
  <c r="G9" i="15"/>
  <c r="G7" i="15"/>
  <c r="J7" i="15"/>
  <c r="J8" i="15"/>
  <c r="G8" i="15"/>
  <c r="G12" i="15" s="1"/>
  <c r="E12" i="15"/>
  <c r="E268" i="14"/>
  <c r="I267" i="14"/>
  <c r="F269" i="14"/>
  <c r="F282" i="14"/>
  <c r="F302" i="14"/>
  <c r="E269" i="14"/>
  <c r="E268" i="13"/>
  <c r="I267" i="13"/>
  <c r="F269" i="13"/>
  <c r="F282" i="13"/>
  <c r="F302" i="13"/>
  <c r="E269" i="13"/>
  <c r="E268" i="12"/>
  <c r="I267" i="12"/>
  <c r="F269" i="12"/>
  <c r="F282" i="12"/>
  <c r="F302" i="12"/>
  <c r="E269" i="12"/>
  <c r="F19" i="15" l="1"/>
  <c r="E22" i="15"/>
  <c r="J12" i="15"/>
  <c r="F314" i="14"/>
  <c r="I302" i="14"/>
  <c r="F304" i="14"/>
  <c r="E303" i="14"/>
  <c r="E304" i="14"/>
  <c r="F284" i="14"/>
  <c r="I282" i="14"/>
  <c r="E283" i="14"/>
  <c r="E284" i="14"/>
  <c r="F284" i="13"/>
  <c r="E283" i="13"/>
  <c r="I282" i="13"/>
  <c r="E284" i="13"/>
  <c r="F314" i="13"/>
  <c r="I302" i="13"/>
  <c r="E303" i="13"/>
  <c r="F304" i="13"/>
  <c r="E304" i="13"/>
  <c r="I282" i="12"/>
  <c r="E283" i="12"/>
  <c r="F284" i="12"/>
  <c r="E284" i="12"/>
  <c r="F314" i="12"/>
  <c r="I302" i="12"/>
  <c r="F304" i="12"/>
  <c r="E303" i="12"/>
  <c r="E304" i="12"/>
  <c r="G22" i="15" l="1"/>
  <c r="G23" i="15" s="1"/>
  <c r="D394" i="14"/>
  <c r="D396" i="14" s="1"/>
  <c r="E396" i="14" s="1"/>
  <c r="F316" i="14"/>
  <c r="E315" i="14"/>
  <c r="E316" i="14"/>
  <c r="D394" i="13"/>
  <c r="D396" i="13" s="1"/>
  <c r="E396" i="13" s="1"/>
  <c r="E315" i="13"/>
  <c r="F316" i="13"/>
  <c r="E316" i="13"/>
  <c r="F316" i="12"/>
  <c r="E315" i="12"/>
  <c r="D394" i="12"/>
  <c r="D396" i="12" s="1"/>
  <c r="E396" i="12" s="1"/>
  <c r="E316" i="12"/>
  <c r="D399" i="7" l="1"/>
  <c r="D384" i="7"/>
  <c r="D374" i="7"/>
  <c r="D349" i="7"/>
  <c r="D325" i="7"/>
  <c r="D311" i="7"/>
  <c r="F308" i="7"/>
  <c r="F309" i="7"/>
  <c r="F307" i="7"/>
  <c r="F296" i="7"/>
  <c r="F295" i="7"/>
  <c r="F294" i="7"/>
  <c r="F293" i="7"/>
  <c r="F292" i="7"/>
  <c r="F291" i="7"/>
  <c r="F290" i="7"/>
  <c r="F289" i="7"/>
  <c r="F288" i="7"/>
  <c r="D298" i="7"/>
  <c r="F278" i="7"/>
  <c r="F277" i="7"/>
  <c r="F276" i="7"/>
  <c r="F275" i="7"/>
  <c r="F274" i="7"/>
  <c r="F263" i="7"/>
  <c r="F262" i="7"/>
  <c r="F252" i="7"/>
  <c r="F251" i="7"/>
  <c r="D279" i="7"/>
  <c r="D264" i="7"/>
  <c r="D253" i="7"/>
  <c r="D350" i="7" s="1"/>
  <c r="H199" i="7"/>
  <c r="H94" i="7"/>
  <c r="H106" i="7"/>
  <c r="H123" i="7"/>
  <c r="H157" i="7"/>
  <c r="H132" i="7"/>
  <c r="H147" i="7"/>
  <c r="D85" i="7"/>
  <c r="D94" i="7"/>
  <c r="D106" i="7"/>
  <c r="D123" i="7"/>
  <c r="D132" i="7"/>
  <c r="D147" i="7"/>
  <c r="D157" i="7"/>
  <c r="D199" i="7"/>
  <c r="F195" i="7"/>
  <c r="F194" i="7"/>
  <c r="F193" i="7"/>
  <c r="F192" i="7"/>
  <c r="F191" i="7"/>
  <c r="F188" i="7"/>
  <c r="F187" i="7"/>
  <c r="F186" i="7"/>
  <c r="F185" i="7"/>
  <c r="F182" i="7"/>
  <c r="F181" i="7"/>
  <c r="F180" i="7"/>
  <c r="F177" i="7"/>
  <c r="F176" i="7"/>
  <c r="F175" i="7"/>
  <c r="F174" i="7"/>
  <c r="F173" i="7"/>
  <c r="F170" i="7"/>
  <c r="F169" i="7"/>
  <c r="F168" i="7"/>
  <c r="F167" i="7"/>
  <c r="F166" i="7"/>
  <c r="F153" i="7"/>
  <c r="F152" i="7"/>
  <c r="F151" i="7"/>
  <c r="F157" i="7" s="1"/>
  <c r="F145" i="7"/>
  <c r="F144" i="7"/>
  <c r="F143" i="7"/>
  <c r="F142" i="7"/>
  <c r="F141" i="7"/>
  <c r="F140" i="7"/>
  <c r="F139" i="7"/>
  <c r="F138" i="7"/>
  <c r="F137" i="7"/>
  <c r="F136" i="7"/>
  <c r="F128" i="7"/>
  <c r="F127" i="7"/>
  <c r="F126" i="7"/>
  <c r="F119" i="7"/>
  <c r="F118" i="7"/>
  <c r="F117" i="7"/>
  <c r="F116" i="7"/>
  <c r="F115" i="7"/>
  <c r="F114" i="7"/>
  <c r="F113" i="7"/>
  <c r="F112" i="7"/>
  <c r="F111" i="7"/>
  <c r="F110" i="7"/>
  <c r="F104" i="7"/>
  <c r="F103" i="7"/>
  <c r="F102" i="7"/>
  <c r="F101" i="7"/>
  <c r="F100" i="7"/>
  <c r="F99" i="7"/>
  <c r="F98" i="7"/>
  <c r="F92" i="7"/>
  <c r="F91" i="7"/>
  <c r="F90" i="7"/>
  <c r="F89" i="7"/>
  <c r="H85" i="7"/>
  <c r="F83" i="7"/>
  <c r="F82" i="7"/>
  <c r="F81" i="7"/>
  <c r="F80" i="7"/>
  <c r="F79" i="7"/>
  <c r="F78" i="7"/>
  <c r="F77" i="7"/>
  <c r="F76" i="7"/>
  <c r="F75" i="7"/>
  <c r="F74" i="7"/>
  <c r="F73" i="7"/>
  <c r="F72" i="7"/>
  <c r="H68" i="7"/>
  <c r="D68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H49" i="7"/>
  <c r="H41" i="7"/>
  <c r="D49" i="7"/>
  <c r="F47" i="7"/>
  <c r="F46" i="7"/>
  <c r="F45" i="7"/>
  <c r="F37" i="7"/>
  <c r="F36" i="7"/>
  <c r="F35" i="7"/>
  <c r="F34" i="7"/>
  <c r="F33" i="7"/>
  <c r="F32" i="7"/>
  <c r="F31" i="7"/>
  <c r="F30" i="7"/>
  <c r="F29" i="7"/>
  <c r="F16" i="7"/>
  <c r="F17" i="7"/>
  <c r="F18" i="7"/>
  <c r="F19" i="7"/>
  <c r="F20" i="7"/>
  <c r="F15" i="7"/>
  <c r="D41" i="7"/>
  <c r="H25" i="7"/>
  <c r="D25" i="7"/>
  <c r="E46" i="1"/>
  <c r="E28" i="1"/>
  <c r="I155" i="7"/>
  <c r="E155" i="7"/>
  <c r="I121" i="7"/>
  <c r="E121" i="7"/>
  <c r="F311" i="7" l="1"/>
  <c r="F49" i="7"/>
  <c r="F68" i="7"/>
  <c r="F85" i="7"/>
  <c r="F106" i="7"/>
  <c r="F132" i="7"/>
  <c r="F199" i="7"/>
  <c r="F123" i="7"/>
  <c r="E263" i="7"/>
  <c r="I153" i="7"/>
  <c r="I152" i="7" s="1"/>
  <c r="I151" i="7" s="1"/>
  <c r="F94" i="7"/>
  <c r="F147" i="7"/>
  <c r="F264" i="7"/>
  <c r="F298" i="7"/>
  <c r="F25" i="7"/>
  <c r="F279" i="7"/>
  <c r="F253" i="7"/>
  <c r="F41" i="7"/>
  <c r="E151" i="7"/>
  <c r="E153" i="7"/>
  <c r="E152" i="7"/>
  <c r="H160" i="7"/>
  <c r="D385" i="7"/>
  <c r="D364" i="7"/>
  <c r="E157" i="7" l="1"/>
  <c r="D362" i="7"/>
  <c r="D363" i="7" s="1"/>
  <c r="D355" i="7"/>
  <c r="I197" i="7"/>
  <c r="I130" i="7"/>
  <c r="I39" i="7"/>
  <c r="I22" i="7"/>
  <c r="E309" i="7" s="1"/>
  <c r="E308" i="7" s="1"/>
  <c r="E307" i="7" s="1"/>
  <c r="I263" i="7"/>
  <c r="D332" i="7"/>
  <c r="I229" i="7"/>
  <c r="E229" i="7"/>
  <c r="D340" i="7"/>
  <c r="B8" i="7"/>
  <c r="I35" i="1"/>
  <c r="G35" i="1" s="1"/>
  <c r="E204" i="7" s="1"/>
  <c r="D204" i="7"/>
  <c r="E70" i="1"/>
  <c r="D341" i="7"/>
  <c r="D339" i="7"/>
  <c r="D338" i="7"/>
  <c r="D337" i="7"/>
  <c r="D336" i="7"/>
  <c r="D335" i="7"/>
  <c r="D334" i="7"/>
  <c r="D333" i="7"/>
  <c r="D356" i="7" l="1"/>
  <c r="E278" i="7"/>
  <c r="E277" i="7" s="1"/>
  <c r="E276" i="7" s="1"/>
  <c r="E275" i="7" s="1"/>
  <c r="E274" i="7" s="1"/>
  <c r="E279" i="7" s="1"/>
  <c r="E311" i="7"/>
  <c r="E252" i="7"/>
  <c r="D351" i="7"/>
  <c r="E251" i="7"/>
  <c r="D357" i="7"/>
  <c r="I251" i="7"/>
  <c r="I252" i="7"/>
  <c r="F204" i="7"/>
  <c r="D241" i="7"/>
  <c r="D240" i="7"/>
  <c r="D239" i="7"/>
  <c r="I39" i="1"/>
  <c r="G39" i="1" s="1"/>
  <c r="E241" i="7" s="1"/>
  <c r="I38" i="1"/>
  <c r="G38" i="1" s="1"/>
  <c r="E240" i="7" s="1"/>
  <c r="I37" i="1"/>
  <c r="G37" i="1" s="1"/>
  <c r="E239" i="7" s="1"/>
  <c r="E253" i="7" l="1"/>
  <c r="D358" i="7"/>
  <c r="D365" i="7"/>
  <c r="I262" i="7"/>
  <c r="E262" i="7"/>
  <c r="E264" i="7" s="1"/>
  <c r="I36" i="1"/>
  <c r="G36" i="1" s="1"/>
  <c r="E238" i="7" s="1"/>
  <c r="E244" i="7" s="1"/>
  <c r="E130" i="7"/>
  <c r="E197" i="7"/>
  <c r="H233" i="7"/>
  <c r="H256" i="7" s="1"/>
  <c r="H267" i="7" s="1"/>
  <c r="H282" i="7" s="1"/>
  <c r="I19" i="7" s="1"/>
  <c r="I29" i="7" s="1"/>
  <c r="E288" i="7" s="1"/>
  <c r="I44" i="1"/>
  <c r="G44" i="1" s="1"/>
  <c r="E209" i="7" s="1"/>
  <c r="I34" i="1"/>
  <c r="D203" i="7"/>
  <c r="D209" i="7"/>
  <c r="D205" i="7"/>
  <c r="D206" i="7"/>
  <c r="D207" i="7"/>
  <c r="D208" i="7"/>
  <c r="I46" i="7" s="1"/>
  <c r="F205" i="7"/>
  <c r="F206" i="7"/>
  <c r="F207" i="7"/>
  <c r="F208" i="7"/>
  <c r="F209" i="7"/>
  <c r="D395" i="7"/>
  <c r="E211" i="7"/>
  <c r="E212" i="7"/>
  <c r="E213" i="7"/>
  <c r="E214" i="7"/>
  <c r="I41" i="1"/>
  <c r="G41" i="1" s="1"/>
  <c r="E206" i="7" s="1"/>
  <c r="I42" i="1"/>
  <c r="G42" i="1" s="1"/>
  <c r="E207" i="7" s="1"/>
  <c r="I43" i="1"/>
  <c r="G43" i="1" s="1"/>
  <c r="E208" i="7" s="1"/>
  <c r="I40" i="1"/>
  <c r="G40" i="1" s="1"/>
  <c r="B216" i="7"/>
  <c r="E39" i="7"/>
  <c r="E22" i="7"/>
  <c r="A10" i="7"/>
  <c r="E10" i="7"/>
  <c r="I110" i="7"/>
  <c r="D221" i="7"/>
  <c r="D375" i="7"/>
  <c r="E292" i="7" s="1"/>
  <c r="E293" i="7" s="1"/>
  <c r="E294" i="7" s="1"/>
  <c r="E295" i="7" s="1"/>
  <c r="E296" i="7" s="1"/>
  <c r="I228" i="7"/>
  <c r="B147" i="7"/>
  <c r="B106" i="7"/>
  <c r="B94" i="7"/>
  <c r="B85" i="7"/>
  <c r="B68" i="7"/>
  <c r="B49" i="7"/>
  <c r="B41" i="7"/>
  <c r="B25" i="7"/>
  <c r="B7" i="7"/>
  <c r="B6" i="7"/>
  <c r="B5" i="7"/>
  <c r="I24" i="1"/>
  <c r="I25" i="1"/>
  <c r="G25" i="1" s="1"/>
  <c r="I26" i="1"/>
  <c r="G26" i="1" s="1"/>
  <c r="I27" i="1"/>
  <c r="G27" i="1" s="1"/>
  <c r="E69" i="1"/>
  <c r="E289" i="7" l="1"/>
  <c r="E290" i="7" s="1"/>
  <c r="E291" i="7" s="1"/>
  <c r="G34" i="1"/>
  <c r="I46" i="1"/>
  <c r="G28" i="1"/>
  <c r="G29" i="1" s="1"/>
  <c r="I28" i="1"/>
  <c r="I31" i="1" s="1"/>
  <c r="D376" i="7"/>
  <c r="D386" i="7"/>
  <c r="D160" i="7"/>
  <c r="D326" i="7" s="1"/>
  <c r="D327" i="7" s="1"/>
  <c r="E145" i="7"/>
  <c r="I145" i="7"/>
  <c r="E81" i="7"/>
  <c r="I81" i="7"/>
  <c r="E47" i="7"/>
  <c r="I47" i="7"/>
  <c r="E20" i="7"/>
  <c r="I20" i="7"/>
  <c r="E65" i="7"/>
  <c r="I65" i="7"/>
  <c r="E139" i="7"/>
  <c r="I139" i="7"/>
  <c r="E56" i="7"/>
  <c r="I56" i="7"/>
  <c r="E177" i="7"/>
  <c r="I177" i="7"/>
  <c r="E117" i="7"/>
  <c r="I117" i="7"/>
  <c r="E83" i="7"/>
  <c r="I83" i="7"/>
  <c r="E61" i="7"/>
  <c r="I61" i="7"/>
  <c r="E32" i="7"/>
  <c r="I32" i="7"/>
  <c r="E63" i="7"/>
  <c r="I63" i="7"/>
  <c r="E128" i="7"/>
  <c r="I128" i="7"/>
  <c r="E141" i="7"/>
  <c r="I141" i="7"/>
  <c r="E174" i="7"/>
  <c r="I174" i="7"/>
  <c r="E192" i="7"/>
  <c r="I192" i="7"/>
  <c r="E58" i="7"/>
  <c r="I58" i="7"/>
  <c r="E16" i="7"/>
  <c r="I16" i="7"/>
  <c r="E176" i="7"/>
  <c r="I176" i="7"/>
  <c r="E116" i="7"/>
  <c r="I116" i="7"/>
  <c r="E82" i="7"/>
  <c r="I82" i="7"/>
  <c r="E60" i="7"/>
  <c r="I60" i="7"/>
  <c r="E31" i="7"/>
  <c r="I31" i="7"/>
  <c r="E64" i="7"/>
  <c r="I64" i="7"/>
  <c r="E167" i="7"/>
  <c r="I167" i="7"/>
  <c r="E140" i="7"/>
  <c r="I140" i="7"/>
  <c r="E45" i="7"/>
  <c r="I45" i="7"/>
  <c r="E173" i="7"/>
  <c r="I173" i="7"/>
  <c r="E112" i="7"/>
  <c r="I112" i="7"/>
  <c r="E57" i="7"/>
  <c r="I57" i="7"/>
  <c r="E182" i="7"/>
  <c r="I182" i="7"/>
  <c r="E170" i="7"/>
  <c r="I170" i="7"/>
  <c r="E18" i="7"/>
  <c r="I18" i="7"/>
  <c r="E111" i="7"/>
  <c r="I111" i="7"/>
  <c r="E66" i="7"/>
  <c r="I66" i="7"/>
  <c r="E185" i="7"/>
  <c r="I185" i="7"/>
  <c r="E169" i="7"/>
  <c r="I169" i="7"/>
  <c r="E127" i="7"/>
  <c r="I127" i="7"/>
  <c r="E137" i="7"/>
  <c r="I137" i="7"/>
  <c r="E195" i="7"/>
  <c r="I195" i="7"/>
  <c r="E142" i="7"/>
  <c r="I142" i="7"/>
  <c r="E104" i="7"/>
  <c r="I104" i="7"/>
  <c r="E78" i="7"/>
  <c r="I78" i="7"/>
  <c r="E35" i="7"/>
  <c r="I35" i="7"/>
  <c r="E103" i="7"/>
  <c r="I103" i="7"/>
  <c r="E191" i="7"/>
  <c r="I191" i="7"/>
  <c r="E136" i="7"/>
  <c r="I136" i="7"/>
  <c r="E187" i="7"/>
  <c r="I187" i="7"/>
  <c r="E73" i="7"/>
  <c r="I73" i="7"/>
  <c r="E53" i="7"/>
  <c r="I53" i="7"/>
  <c r="E91" i="7"/>
  <c r="I91" i="7"/>
  <c r="E138" i="7"/>
  <c r="I138" i="7"/>
  <c r="E75" i="7"/>
  <c r="I75" i="7"/>
  <c r="E55" i="7"/>
  <c r="I55" i="7"/>
  <c r="E143" i="7"/>
  <c r="I143" i="7"/>
  <c r="E79" i="7"/>
  <c r="I79" i="7"/>
  <c r="E92" i="7"/>
  <c r="I92" i="7"/>
  <c r="E74" i="7"/>
  <c r="I74" i="7"/>
  <c r="E181" i="7"/>
  <c r="I181" i="7"/>
  <c r="E119" i="7"/>
  <c r="I119" i="7"/>
  <c r="E99" i="7"/>
  <c r="I99" i="7"/>
  <c r="E77" i="7"/>
  <c r="I77" i="7"/>
  <c r="E34" i="7"/>
  <c r="I34" i="7"/>
  <c r="E101" i="7"/>
  <c r="I101" i="7"/>
  <c r="E126" i="7"/>
  <c r="I126" i="7"/>
  <c r="E76" i="7"/>
  <c r="I76" i="7"/>
  <c r="E186" i="7"/>
  <c r="I186" i="7"/>
  <c r="E72" i="7"/>
  <c r="I72" i="7"/>
  <c r="E30" i="7"/>
  <c r="I30" i="7"/>
  <c r="E90" i="7"/>
  <c r="I90" i="7"/>
  <c r="E115" i="7"/>
  <c r="I115" i="7"/>
  <c r="E113" i="7"/>
  <c r="I113" i="7"/>
  <c r="E188" i="7"/>
  <c r="I188" i="7"/>
  <c r="E144" i="7"/>
  <c r="I144" i="7"/>
  <c r="E80" i="7"/>
  <c r="I80" i="7"/>
  <c r="E37" i="7"/>
  <c r="I37" i="7"/>
  <c r="I17" i="7"/>
  <c r="E36" i="7"/>
  <c r="I36" i="7"/>
  <c r="E193" i="7"/>
  <c r="I193" i="7"/>
  <c r="E168" i="7"/>
  <c r="I168" i="7"/>
  <c r="E54" i="7"/>
  <c r="I54" i="7"/>
  <c r="E180" i="7"/>
  <c r="I180" i="7"/>
  <c r="E118" i="7"/>
  <c r="I118" i="7"/>
  <c r="E98" i="7"/>
  <c r="I98" i="7"/>
  <c r="E62" i="7"/>
  <c r="I62" i="7"/>
  <c r="E33" i="7"/>
  <c r="I33" i="7"/>
  <c r="E100" i="7"/>
  <c r="I100" i="7"/>
  <c r="E114" i="7"/>
  <c r="I114" i="7"/>
  <c r="E102" i="7"/>
  <c r="I102" i="7"/>
  <c r="E175" i="7"/>
  <c r="I175" i="7"/>
  <c r="E194" i="7"/>
  <c r="I194" i="7"/>
  <c r="E59" i="7"/>
  <c r="I59" i="7"/>
  <c r="E166" i="7"/>
  <c r="I166" i="7"/>
  <c r="E89" i="7"/>
  <c r="I89" i="7"/>
  <c r="E15" i="7"/>
  <c r="I15" i="7"/>
  <c r="I10" i="7"/>
  <c r="F203" i="7"/>
  <c r="F216" i="7" s="1"/>
  <c r="E205" i="7"/>
  <c r="I49" i="7"/>
  <c r="E46" i="7"/>
  <c r="I41" i="7"/>
  <c r="E110" i="7"/>
  <c r="E29" i="7"/>
  <c r="I68" i="7"/>
  <c r="I94" i="7"/>
  <c r="I25" i="7"/>
  <c r="I106" i="7"/>
  <c r="I147" i="7"/>
  <c r="E19" i="7"/>
  <c r="I85" i="7"/>
  <c r="E298" i="7" l="1"/>
  <c r="E94" i="7"/>
  <c r="E68" i="7"/>
  <c r="E106" i="7"/>
  <c r="E85" i="7"/>
  <c r="E199" i="7"/>
  <c r="E221" i="7" s="1"/>
  <c r="E123" i="7"/>
  <c r="E147" i="7"/>
  <c r="E49" i="7"/>
  <c r="E132" i="7"/>
  <c r="E41" i="7"/>
  <c r="E25" i="7"/>
  <c r="E203" i="7"/>
  <c r="I298" i="7"/>
  <c r="F222" i="7"/>
  <c r="I49" i="1"/>
  <c r="F221" i="7"/>
  <c r="H221" i="7" s="1"/>
  <c r="I199" i="7"/>
  <c r="E160" i="7" l="1"/>
  <c r="E220" i="7" s="1"/>
  <c r="I157" i="7"/>
  <c r="F160" i="7"/>
  <c r="I123" i="7"/>
  <c r="E52" i="1"/>
  <c r="I216" i="7"/>
  <c r="I52" i="1" l="1"/>
  <c r="E321" i="14"/>
  <c r="F321" i="14" s="1"/>
  <c r="F322" i="14" s="1"/>
  <c r="E321" i="13"/>
  <c r="F321" i="13" s="1"/>
  <c r="F322" i="13" s="1"/>
  <c r="E321" i="12"/>
  <c r="F321" i="12" s="1"/>
  <c r="F322" i="12" s="1"/>
  <c r="I57" i="1"/>
  <c r="I63" i="1"/>
  <c r="I132" i="7"/>
  <c r="G52" i="1"/>
  <c r="G53" i="1" s="1"/>
  <c r="I53" i="1"/>
  <c r="E321" i="7"/>
  <c r="I64" i="1"/>
  <c r="I160" i="7" l="1"/>
  <c r="J160" i="7" s="1"/>
  <c r="F220" i="7"/>
  <c r="I58" i="1"/>
  <c r="G57" i="1"/>
  <c r="G58" i="1" s="1"/>
  <c r="G45" i="1"/>
  <c r="G46" i="1" s="1"/>
  <c r="G47" i="1" s="1"/>
  <c r="D210" i="7"/>
  <c r="D216" i="7" l="1"/>
  <c r="F223" i="7"/>
  <c r="F233" i="7" s="1"/>
  <c r="D330" i="7"/>
  <c r="D342" i="7" s="1"/>
  <c r="C23" i="5"/>
  <c r="E63" i="1"/>
  <c r="E210" i="7"/>
  <c r="E216" i="7" s="1"/>
  <c r="D343" i="7" l="1"/>
  <c r="D222" i="7"/>
  <c r="F246" i="7"/>
  <c r="F235" i="7"/>
  <c r="H222" i="7"/>
  <c r="I233" i="7"/>
  <c r="E222" i="7"/>
  <c r="E223" i="7" s="1"/>
  <c r="E225" i="7" s="1"/>
  <c r="G63" i="1"/>
  <c r="G64" i="1" s="1"/>
  <c r="D223" i="7"/>
  <c r="E224" i="7" s="1"/>
  <c r="C24" i="5"/>
  <c r="F256" i="7" l="1"/>
  <c r="F248" i="7"/>
  <c r="D344" i="7"/>
  <c r="D388" i="7"/>
  <c r="E233" i="7"/>
  <c r="D233" i="7"/>
  <c r="C4" i="5"/>
  <c r="D4" i="5"/>
  <c r="I256" i="7" l="1"/>
  <c r="F258" i="7"/>
  <c r="F267" i="7"/>
  <c r="E246" i="7"/>
  <c r="E235" i="7"/>
  <c r="D5" i="5" s="1"/>
  <c r="I311" i="7"/>
  <c r="D246" i="7"/>
  <c r="D256" i="7" s="1"/>
  <c r="C5" i="5"/>
  <c r="E234" i="7"/>
  <c r="F269" i="7" l="1"/>
  <c r="F302" i="7"/>
  <c r="I267" i="7"/>
  <c r="F282" i="7"/>
  <c r="E256" i="7"/>
  <c r="E248" i="7"/>
  <c r="D267" i="7"/>
  <c r="C6" i="15" s="1"/>
  <c r="C12" i="15" s="1"/>
  <c r="E247" i="7"/>
  <c r="C22" i="15" l="1"/>
  <c r="D13" i="15"/>
  <c r="D14" i="15" s="1"/>
  <c r="I282" i="7"/>
  <c r="F284" i="7"/>
  <c r="F314" i="7"/>
  <c r="F304" i="7"/>
  <c r="I302" i="7"/>
  <c r="E258" i="7"/>
  <c r="E267" i="7"/>
  <c r="D6" i="15" s="1"/>
  <c r="D12" i="15" s="1"/>
  <c r="D22" i="15" s="1"/>
  <c r="D282" i="7"/>
  <c r="E268" i="7"/>
  <c r="E257" i="7"/>
  <c r="D26" i="15" l="1"/>
  <c r="D23" i="15"/>
  <c r="F316" i="7"/>
  <c r="D394" i="7"/>
  <c r="D396" i="7" s="1"/>
  <c r="E396" i="7" s="1"/>
  <c r="E269" i="7"/>
  <c r="E282" i="7"/>
  <c r="E284" i="7" s="1"/>
  <c r="E302" i="7"/>
  <c r="D302" i="7"/>
  <c r="D314" i="7" s="1"/>
  <c r="E283" i="7"/>
  <c r="E314" i="7" l="1"/>
  <c r="E316" i="7" s="1"/>
  <c r="E304" i="7"/>
  <c r="E303" i="7"/>
  <c r="E315" i="7" l="1"/>
  <c r="D389" i="7"/>
  <c r="F321" i="7" l="1"/>
  <c r="F322" i="7" s="1"/>
  <c r="D39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 Kooymans</author>
  </authors>
  <commentList>
    <comment ref="I19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If budget in Euro then fill in amount here. If budget is in US$ or other currency, then fill amount into cell on the left.
</t>
        </r>
      </text>
    </comment>
    <comment ref="E20" authorId="0" shapeId="0" xr:uid="{00000000-0006-0000-0000-000002000000}">
      <text>
        <r>
          <rPr>
            <b/>
            <sz val="9"/>
            <color rgb="FF000000"/>
            <rFont val="Calibri"/>
            <family val="2"/>
          </rPr>
          <t>Check rate at www.oanda.com -&gt; then take average of 3 months!</t>
        </r>
      </text>
    </comment>
    <comment ref="E21" authorId="0" shapeId="0" xr:uid="{00000000-0006-0000-0000-000003000000}">
      <text>
        <r>
          <rPr>
            <b/>
            <sz val="9"/>
            <color rgb="FF000000"/>
            <rFont val="Calibri"/>
            <family val="2"/>
          </rPr>
          <t>Fill in date of when rate was checked.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4" authorId="0" shapeId="0" xr:uid="{6D4E9792-A5E7-0843-A6F5-9402F7589D1C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5" authorId="0" shapeId="0" xr:uid="{587F9076-ECE2-8B48-ACB3-1E5C7691A224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6" authorId="0" shapeId="0" xr:uid="{00000000-0006-0000-0000-000006000000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7" authorId="0" shapeId="0" xr:uid="{00000000-0006-0000-0000-000007000000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34" authorId="0" shapeId="0" xr:uid="{00000000-0006-0000-0000-000008000000}">
      <text>
        <r>
          <rPr>
            <b/>
            <sz val="9"/>
            <color rgb="FF000000"/>
            <rFont val="Calibri"/>
            <family val="2"/>
          </rPr>
          <t>Standard factor 4 -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5" authorId="0" shapeId="0" xr:uid="{CE3F989A-290D-0741-9850-1D205E259478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6" authorId="0" shapeId="0" xr:uid="{78496523-4091-4F4B-B929-ADFF16E8C012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7" authorId="0" shapeId="0" xr:uid="{5404EF45-16AC-5C4B-B09C-862ADDA74485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8" authorId="0" shapeId="0" xr:uid="{B879A10E-E47D-8346-AF91-1CCC1E7A42C5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9" authorId="0" shapeId="0" xr:uid="{AA4297A6-BFC8-754E-87E2-8D52094F0156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0" authorId="0" shapeId="0" xr:uid="{00000000-0006-0000-0000-000009000000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1" authorId="0" shapeId="0" xr:uid="{00000000-0006-0000-0000-00000A000000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2" authorId="0" shapeId="0" xr:uid="{00000000-0006-0000-0000-00000B000000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3" authorId="0" shapeId="0" xr:uid="{00000000-0006-0000-0000-00000C000000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4" authorId="0" shapeId="0" xr:uid="{00000000-0006-0000-0000-00000D000000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52" authorId="0" shapeId="0" xr:uid="{00000000-0006-0000-0000-00000E000000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57" authorId="0" shapeId="0" xr:uid="{4D036D40-052D-144D-8EF8-44A896E03D60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G64" authorId="0" shapeId="0" xr:uid="{00000000-0006-0000-0000-00000F000000}">
      <text>
        <r>
          <rPr>
            <b/>
            <sz val="9"/>
            <color rgb="FF000000"/>
            <rFont val="Calibri"/>
            <family val="2"/>
          </rPr>
          <t>Cell will turn red if margin % is less than 25%.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 Kooymans</author>
  </authors>
  <commentList>
    <comment ref="I19" authorId="0" shapeId="0" xr:uid="{D7F844C7-4B28-CD4C-9E8A-3A67EC26E889}">
      <text>
        <r>
          <rPr>
            <b/>
            <sz val="9"/>
            <color rgb="FF000000"/>
            <rFont val="Calibri"/>
            <family val="2"/>
          </rPr>
          <t xml:space="preserve">If budget in Euro then fill in amount here. If budget is in US$ or other currency, then fill amount into cell on the left.
</t>
        </r>
      </text>
    </comment>
    <comment ref="E20" authorId="0" shapeId="0" xr:uid="{B125F092-5621-5341-844A-0185C97BE7BE}">
      <text>
        <r>
          <rPr>
            <b/>
            <sz val="9"/>
            <color rgb="FF000000"/>
            <rFont val="Calibri"/>
            <family val="2"/>
          </rPr>
          <t>Check rate at www.oanda.com -&gt; then take average of 3 months!</t>
        </r>
      </text>
    </comment>
    <comment ref="E21" authorId="0" shapeId="0" xr:uid="{576BB17A-20C5-5840-83AE-9B4400ED6821}">
      <text>
        <r>
          <rPr>
            <b/>
            <sz val="9"/>
            <color rgb="FF000000"/>
            <rFont val="Calibri"/>
            <family val="2"/>
          </rPr>
          <t>Fill in date of when rate was checked.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4" authorId="0" shapeId="0" xr:uid="{B478B963-0A0A-4D45-AB9A-80E843904BE0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5" authorId="0" shapeId="0" xr:uid="{2212EDAB-0E0E-BA40-9667-F16B8CD07B97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6" authorId="0" shapeId="0" xr:uid="{32BCD37A-777D-724B-8597-4A5541B06DDD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7" authorId="0" shapeId="0" xr:uid="{960975B8-4ED5-2B4B-9237-923A30AC00C1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34" authorId="0" shapeId="0" xr:uid="{224C2576-0281-234C-AB75-031B35462EE4}">
      <text>
        <r>
          <rPr>
            <b/>
            <sz val="9"/>
            <color rgb="FF000000"/>
            <rFont val="Calibri"/>
            <family val="2"/>
          </rPr>
          <t>Standard factor 4 -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5" authorId="0" shapeId="0" xr:uid="{5C4C931B-0AAF-1E46-90C0-E16B9A6A0759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6" authorId="0" shapeId="0" xr:uid="{5018460B-4660-354A-ABF2-E7FC93D838B6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7" authorId="0" shapeId="0" xr:uid="{9C6A98A6-458A-9745-8B1C-D9ADFC638D76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8" authorId="0" shapeId="0" xr:uid="{574BAFD3-CCF3-2943-9932-6F2F2ECDDC84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9" authorId="0" shapeId="0" xr:uid="{AB54BC36-8A5E-5349-977A-7CF0F28F97D1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0" authorId="0" shapeId="0" xr:uid="{9E1194C7-B48B-E24E-947E-277A1FD86125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1" authorId="0" shapeId="0" xr:uid="{E1512568-2E29-B24B-B935-DCA2D187FF4D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2" authorId="0" shapeId="0" xr:uid="{3FFDA7F6-FA60-FF4C-A91A-C71D138DF8CB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3" authorId="0" shapeId="0" xr:uid="{893B7676-3E86-A047-82DE-79DF444A85BA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4" authorId="0" shapeId="0" xr:uid="{DDD1F436-A0B0-2345-BAB3-EDAE89DC928E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52" authorId="0" shapeId="0" xr:uid="{17AC3C81-11AD-CB46-BF87-6F2F9D7BA22A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57" authorId="0" shapeId="0" xr:uid="{B2FF42FD-D499-914B-824F-0FBE3BD5B950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G64" authorId="0" shapeId="0" xr:uid="{55A2A52F-014D-414E-85FC-22FE401E8463}">
      <text>
        <r>
          <rPr>
            <b/>
            <sz val="9"/>
            <color rgb="FF000000"/>
            <rFont val="Calibri"/>
            <family val="2"/>
          </rPr>
          <t>Cell will turn red if margin % is less than 25%.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 Kooymans</author>
  </authors>
  <commentList>
    <comment ref="I19" authorId="0" shapeId="0" xr:uid="{024F0888-020A-5C4E-8420-BF6496CEB84A}">
      <text>
        <r>
          <rPr>
            <b/>
            <sz val="9"/>
            <color rgb="FF000000"/>
            <rFont val="Calibri"/>
            <family val="2"/>
          </rPr>
          <t xml:space="preserve">If budget in Euro then fill in amount here. If budget is in US$ or other currency, then fill amount into cell on the left.
</t>
        </r>
      </text>
    </comment>
    <comment ref="E20" authorId="0" shapeId="0" xr:uid="{381714AC-2C8F-6545-BA28-B15811481395}">
      <text>
        <r>
          <rPr>
            <b/>
            <sz val="9"/>
            <color rgb="FF000000"/>
            <rFont val="Calibri"/>
            <family val="2"/>
          </rPr>
          <t>Check rate at www.oanda.com -&gt; then take average of 3 months!</t>
        </r>
      </text>
    </comment>
    <comment ref="E21" authorId="0" shapeId="0" xr:uid="{A32DC694-B022-1F45-97ED-38D8AC41E021}">
      <text>
        <r>
          <rPr>
            <b/>
            <sz val="9"/>
            <color rgb="FF000000"/>
            <rFont val="Calibri"/>
            <family val="2"/>
          </rPr>
          <t>Fill in date of when rate was checked.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4" authorId="0" shapeId="0" xr:uid="{BD9CEA53-F908-4043-A5AA-CDB8B5720EA2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5" authorId="0" shapeId="0" xr:uid="{6468BF7E-5877-2142-AE02-37A0EE201300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6" authorId="0" shapeId="0" xr:uid="{8DAAAA63-2EFB-0F4C-8C09-C9AFEA494C7A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7" authorId="0" shapeId="0" xr:uid="{35365FEA-71D7-6344-ACF9-5249F5CDFAF9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34" authorId="0" shapeId="0" xr:uid="{723C84DD-E8C8-A64F-BB58-0F36CED5FBFC}">
      <text>
        <r>
          <rPr>
            <b/>
            <sz val="9"/>
            <color rgb="FF000000"/>
            <rFont val="Calibri"/>
            <family val="2"/>
          </rPr>
          <t>Standard factor 4 -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5" authorId="0" shapeId="0" xr:uid="{4B538EA3-A6F8-0C46-A782-432B82369B28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6" authorId="0" shapeId="0" xr:uid="{508BBE7E-7C68-894A-91E6-3591AE1B8C79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7" authorId="0" shapeId="0" xr:uid="{753B17DA-8EB3-184B-9DE8-FAE1EB5348E2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8" authorId="0" shapeId="0" xr:uid="{8CE1B288-EB33-BB41-A7C9-C4E45E068DB1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9" authorId="0" shapeId="0" xr:uid="{A96E0CC4-8AA4-F941-AFD5-6BEF01DB4CD4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0" authorId="0" shapeId="0" xr:uid="{15502050-A39C-8640-B134-08C858404892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1" authorId="0" shapeId="0" xr:uid="{F25199D2-E546-E646-953C-0AA7A4B2009D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2" authorId="0" shapeId="0" xr:uid="{9C4C5478-D0EE-BD49-9711-33FAF57A0C4A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3" authorId="0" shapeId="0" xr:uid="{E16CD98B-A99F-394E-B3D9-667CB1F995FD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4" authorId="0" shapeId="0" xr:uid="{49733EA5-CBE6-A847-AB9A-B25DAF218561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52" authorId="0" shapeId="0" xr:uid="{6F91C315-B656-2A41-92E2-A9A00C9E784E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57" authorId="0" shapeId="0" xr:uid="{154389F9-9EBC-DD4C-95CB-D8CA2E7DE187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G64" authorId="0" shapeId="0" xr:uid="{C75AD15F-F576-4B44-89D7-157982373D35}">
      <text>
        <r>
          <rPr>
            <b/>
            <sz val="9"/>
            <color rgb="FF000000"/>
            <rFont val="Calibri"/>
            <family val="2"/>
          </rPr>
          <t>Cell will turn red if margin % is less than 25%.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 Kooymans</author>
  </authors>
  <commentList>
    <comment ref="I19" authorId="0" shapeId="0" xr:uid="{3FF8E313-1C90-3C4B-999E-7827B8EB0A67}">
      <text>
        <r>
          <rPr>
            <b/>
            <sz val="9"/>
            <color rgb="FF000000"/>
            <rFont val="Calibri"/>
            <family val="2"/>
          </rPr>
          <t xml:space="preserve">If budget in Euro then fill in amount here. If budget is in US$ or other currency, then fill amount into cell on the left.
</t>
        </r>
      </text>
    </comment>
    <comment ref="E20" authorId="0" shapeId="0" xr:uid="{76EA658B-8564-BB4A-9493-742E056F479C}">
      <text>
        <r>
          <rPr>
            <b/>
            <sz val="9"/>
            <color rgb="FF000000"/>
            <rFont val="Calibri"/>
            <family val="2"/>
          </rPr>
          <t>Check rate at www.oanda.com -&gt; then take average of 3 months!</t>
        </r>
      </text>
    </comment>
    <comment ref="E21" authorId="0" shapeId="0" xr:uid="{53F0DD09-FE0E-EF44-BEE6-AFD2986E607B}">
      <text>
        <r>
          <rPr>
            <b/>
            <sz val="9"/>
            <color rgb="FF000000"/>
            <rFont val="Calibri"/>
            <family val="2"/>
          </rPr>
          <t>Fill in date of when rate was checked.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4" authorId="0" shapeId="0" xr:uid="{C323CAEF-869A-EB40-83C6-CF70FB60536B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25" authorId="0" shapeId="0" xr:uid="{E322C648-BCF7-4645-8123-FC00C3D9A784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6" authorId="0" shapeId="0" xr:uid="{08205BBC-4F8F-CC4D-8DB2-2B2B088F9F63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27" authorId="0" shapeId="0" xr:uid="{25AA7173-B3AB-8E44-89F7-9EF273FF14B1}">
      <text>
        <r>
          <rPr>
            <b/>
            <sz val="9"/>
            <color rgb="FF000000"/>
            <rFont val="Calibri"/>
            <family val="2"/>
          </rPr>
          <t>Standard fee 7,5% - if changed cell will turn red</t>
        </r>
      </text>
    </comment>
    <comment ref="K34" authorId="0" shapeId="0" xr:uid="{3E333B5E-5590-344E-9773-E60191D7906D}">
      <text>
        <r>
          <rPr>
            <b/>
            <sz val="9"/>
            <color rgb="FF000000"/>
            <rFont val="Calibri"/>
            <family val="2"/>
          </rPr>
          <t>Standard factor 4 -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5" authorId="0" shapeId="0" xr:uid="{C1475832-834C-E449-8B6E-8D61F238CA39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6" authorId="0" shapeId="0" xr:uid="{D0A76463-A3B5-9B42-B729-60D6B3F2F9E7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7" authorId="0" shapeId="0" xr:uid="{617A8612-8063-C047-AF97-D3D723365BE5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8" authorId="0" shapeId="0" xr:uid="{9B17384C-9C4D-CF4B-B85F-C3A793FCFAD8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39" authorId="0" shapeId="0" xr:uid="{2077A452-CA25-E647-96C1-E156FBB7E153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0" authorId="0" shapeId="0" xr:uid="{7841A3C5-3D0B-A64A-84AD-0A23CC4AE05B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1" authorId="0" shapeId="0" xr:uid="{59E02E3C-1557-4147-A156-C15878B12496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2" authorId="0" shapeId="0" xr:uid="{BE26EE70-5403-714E-B35B-C45C1284B143}">
      <text>
        <r>
          <rPr>
            <b/>
            <sz val="9"/>
            <color rgb="FF000000"/>
            <rFont val="Calibri"/>
            <family val="2"/>
          </rPr>
          <t>Standard factor 0 -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43" authorId="0" shapeId="0" xr:uid="{60C288E6-40EF-E24A-9293-8B06142E84DF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44" authorId="0" shapeId="0" xr:uid="{4E8537B6-A8B4-5B4A-8888-007FE87C6800}">
      <text>
        <r>
          <rPr>
            <b/>
            <sz val="9"/>
            <color indexed="81"/>
            <rFont val="Calibri"/>
            <family val="2"/>
          </rPr>
          <t>Standard factor 0 - if changed cell will turn red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K52" authorId="0" shapeId="0" xr:uid="{ED059587-12E5-4E46-A232-8D842B6FF61C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K57" authorId="0" shapeId="0" xr:uid="{D7E4A304-CB6B-B241-963D-109050BC7BCF}">
      <text>
        <r>
          <rPr>
            <b/>
            <sz val="9"/>
            <color rgb="FF000000"/>
            <rFont val="Calibri"/>
            <family val="2"/>
          </rPr>
          <t>Standard fee 30% - if changed cell will turn red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G64" authorId="0" shapeId="0" xr:uid="{4DEB0BC7-DC18-E246-B4B3-5AE20F15FB6B}">
      <text>
        <r>
          <rPr>
            <b/>
            <sz val="9"/>
            <color rgb="FF000000"/>
            <rFont val="Calibri"/>
            <family val="2"/>
          </rPr>
          <t>Cell will turn red if margin % is less than 25%.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<sst xmlns="http://schemas.openxmlformats.org/spreadsheetml/2006/main" count="2631" uniqueCount="382">
  <si>
    <t>Budget sheet</t>
  </si>
  <si>
    <t>Client</t>
  </si>
  <si>
    <t>Name</t>
  </si>
  <si>
    <t>Show</t>
  </si>
  <si>
    <t>show</t>
  </si>
  <si>
    <t>Dates</t>
  </si>
  <si>
    <t>Month ##-##, 2025</t>
  </si>
  <si>
    <t>City, country</t>
  </si>
  <si>
    <t>Place, Country</t>
  </si>
  <si>
    <t>Project nummer</t>
  </si>
  <si>
    <t>Project nummer (Hubspot)</t>
  </si>
  <si>
    <t xml:space="preserve"> </t>
  </si>
  <si>
    <t>Stand space m2</t>
  </si>
  <si>
    <t>Single/double</t>
  </si>
  <si>
    <t>&lt;kies type&gt;</t>
  </si>
  <si>
    <t>Stand type</t>
  </si>
  <si>
    <t>Standbuilder</t>
  </si>
  <si>
    <t>-</t>
  </si>
  <si>
    <t>Designer</t>
  </si>
  <si>
    <t>3rd party</t>
  </si>
  <si>
    <t>Budget in US $</t>
  </si>
  <si>
    <t>Budget in Euro</t>
  </si>
  <si>
    <t>Rate</t>
  </si>
  <si>
    <t>In- or decrease</t>
  </si>
  <si>
    <t>Date rate</t>
  </si>
  <si>
    <t>00-00-0000</t>
  </si>
  <si>
    <t>Target sell price / all-in</t>
  </si>
  <si>
    <t>Services</t>
  </si>
  <si>
    <t>Costs</t>
  </si>
  <si>
    <t>Margin</t>
  </si>
  <si>
    <t>Sell services</t>
  </si>
  <si>
    <t>Fee</t>
  </si>
  <si>
    <t>Provision AV</t>
  </si>
  <si>
    <t>%</t>
  </si>
  <si>
    <t>Provision services</t>
  </si>
  <si>
    <t>&lt;item&gt;</t>
  </si>
  <si>
    <t>Total services</t>
  </si>
  <si>
    <t>Budget excluding services</t>
  </si>
  <si>
    <t>PM costs</t>
  </si>
  <si>
    <t>Sell PM</t>
  </si>
  <si>
    <t>Factor</t>
  </si>
  <si>
    <t>Costs PM [project del.]</t>
  </si>
  <si>
    <t>factor</t>
  </si>
  <si>
    <t>Actual Costs PM [project del.]</t>
  </si>
  <si>
    <t>Costs PM Internal - preperation - EvR</t>
  </si>
  <si>
    <t>Costs PM Internal on site delivery - EvR</t>
  </si>
  <si>
    <t>Costs PM External FL preparation - EvR</t>
  </si>
  <si>
    <t>Costs PM External on site delivery - EvR</t>
  </si>
  <si>
    <t>Costs sales [pitch]</t>
  </si>
  <si>
    <t>Design [go-fee]</t>
  </si>
  <si>
    <t>Design [no-go fee]</t>
  </si>
  <si>
    <t>Kick-back fee</t>
  </si>
  <si>
    <t>Insurance [% from stand sell]</t>
  </si>
  <si>
    <t>Total PM + Design</t>
  </si>
  <si>
    <t>Budget excl. services &amp; PM</t>
  </si>
  <si>
    <t>Sell stand</t>
  </si>
  <si>
    <t>Budget standbuilder max</t>
  </si>
  <si>
    <t>Cross-check/should be € 0,00</t>
  </si>
  <si>
    <t>Budget standbuilder given</t>
  </si>
  <si>
    <r>
      <t xml:space="preserve">Costs </t>
    </r>
    <r>
      <rPr>
        <sz val="8"/>
        <color theme="1"/>
        <rFont val="Calibri"/>
        <family val="2"/>
        <scheme val="minor"/>
      </rPr>
      <t>[based on max budget]</t>
    </r>
  </si>
  <si>
    <t>Sell total</t>
  </si>
  <si>
    <t>Totals</t>
  </si>
  <si>
    <t>Budget/m2 client</t>
  </si>
  <si>
    <t>Budget/m2 builder</t>
  </si>
  <si>
    <t>name</t>
  </si>
  <si>
    <t>fee</t>
  </si>
  <si>
    <t>Description</t>
  </si>
  <si>
    <t>Tot. costs</t>
  </si>
  <si>
    <t>Sell €</t>
  </si>
  <si>
    <t>Green</t>
  </si>
  <si>
    <t>= to be filled in</t>
  </si>
  <si>
    <t>Blue</t>
  </si>
  <si>
    <t>= automatically filled in</t>
  </si>
  <si>
    <t>Date offer</t>
  </si>
  <si>
    <t>Builder</t>
  </si>
  <si>
    <t>Offer nr.</t>
  </si>
  <si>
    <t>m2 previous</t>
  </si>
  <si>
    <t>Difference</t>
  </si>
  <si>
    <t xml:space="preserve">m2 </t>
  </si>
  <si>
    <t>##-##-2025</t>
  </si>
  <si>
    <t>##</t>
  </si>
  <si>
    <t>Rental elements</t>
  </si>
  <si>
    <t>Floor</t>
  </si>
  <si>
    <t>Previous</t>
  </si>
  <si>
    <t>x</t>
  </si>
  <si>
    <t>x increase amount</t>
  </si>
  <si>
    <t>Walls</t>
  </si>
  <si>
    <t>Rigging</t>
  </si>
  <si>
    <t>Pantry</t>
  </si>
  <si>
    <t>Furniture</t>
  </si>
  <si>
    <t>AV</t>
  </si>
  <si>
    <t>Display</t>
  </si>
  <si>
    <t>Decoration</t>
  </si>
  <si>
    <t>Various</t>
  </si>
  <si>
    <t xml:space="preserve">x montage- en verpakkingsmaterialen </t>
  </si>
  <si>
    <t>x schilderbenodigdheden</t>
  </si>
  <si>
    <t>Electrical</t>
  </si>
  <si>
    <t>Total for rental elements</t>
  </si>
  <si>
    <t>General costs</t>
  </si>
  <si>
    <t>transport</t>
  </si>
  <si>
    <t>km</t>
  </si>
  <si>
    <t>Build-up / take-down</t>
  </si>
  <si>
    <t>uur</t>
  </si>
  <si>
    <t>Travel- &amp; living costs</t>
  </si>
  <si>
    <t>general</t>
  </si>
  <si>
    <t>facilities</t>
  </si>
  <si>
    <t>x discount/increase amount</t>
  </si>
  <si>
    <t>Total for general costs</t>
  </si>
  <si>
    <t>Hoynck bv Project Management</t>
  </si>
  <si>
    <t>Budget Costs PM [project del.]</t>
  </si>
  <si>
    <t>Summary</t>
  </si>
  <si>
    <t>Stand - rental</t>
  </si>
  <si>
    <t>General</t>
  </si>
  <si>
    <t>HBV</t>
  </si>
  <si>
    <t>Subtotal project</t>
  </si>
  <si>
    <t>Price/m2</t>
  </si>
  <si>
    <t>Discount 1 Hoynck bv</t>
  </si>
  <si>
    <t>Discount 2 Hoynck bv</t>
  </si>
  <si>
    <t>Discount HBV</t>
  </si>
  <si>
    <t>Total project</t>
  </si>
  <si>
    <t>Internal - preparation</t>
  </si>
  <si>
    <t>Internal - on site delivery</t>
  </si>
  <si>
    <t>External - Freelance preparation</t>
  </si>
  <si>
    <t>External - Freelance on site delivery</t>
  </si>
  <si>
    <t>Total for PM costs</t>
  </si>
  <si>
    <t>Total project - including PM costs</t>
  </si>
  <si>
    <r>
      <t xml:space="preserve">AV - </t>
    </r>
    <r>
      <rPr>
        <b/>
        <sz val="10"/>
        <color rgb="FFFF0000"/>
        <rFont val="Arial"/>
        <family val="2"/>
      </rPr>
      <t>30%</t>
    </r>
  </si>
  <si>
    <t>Total for AV</t>
  </si>
  <si>
    <t>Total project - including PM and AV costs</t>
  </si>
  <si>
    <r>
      <rPr>
        <b/>
        <sz val="10"/>
        <color rgb="FF000000"/>
        <rFont val="Arial"/>
      </rPr>
      <t>Storage and/or disposal costs -</t>
    </r>
    <r>
      <rPr>
        <b/>
        <sz val="10"/>
        <color rgb="FFFF0000"/>
        <rFont val="Arial"/>
      </rPr>
      <t xml:space="preserve"> 30%</t>
    </r>
  </si>
  <si>
    <t>Total for Storage and/or disposal costs</t>
  </si>
  <si>
    <t>Total project - including PM, AV + storage costs</t>
  </si>
  <si>
    <r>
      <t xml:space="preserve">Options - </t>
    </r>
    <r>
      <rPr>
        <b/>
        <sz val="10"/>
        <color rgb="FFFF0000"/>
        <rFont val="Arial"/>
        <family val="2"/>
      </rPr>
      <t>30%</t>
    </r>
  </si>
  <si>
    <t>Item</t>
  </si>
  <si>
    <t>Total for Options</t>
  </si>
  <si>
    <t>Total project - incl PM, AV, storage costs and options</t>
  </si>
  <si>
    <r>
      <t xml:space="preserve">Additional costs - </t>
    </r>
    <r>
      <rPr>
        <b/>
        <sz val="10"/>
        <color rgb="FFFF0000"/>
        <rFont val="Arial"/>
        <family val="2"/>
      </rPr>
      <t>30%</t>
    </r>
  </si>
  <si>
    <t>Total additional costs</t>
  </si>
  <si>
    <t>Total project - incl PM, AV, storage costs, options and additional items</t>
  </si>
  <si>
    <r>
      <t>On-site services -</t>
    </r>
    <r>
      <rPr>
        <b/>
        <sz val="10"/>
        <color indexed="10"/>
        <rFont val="Arial"/>
        <family val="2"/>
      </rPr>
      <t xml:space="preserve"> fee 10%</t>
    </r>
  </si>
  <si>
    <t>Total On-site services</t>
  </si>
  <si>
    <t>Total project - incl PM, AV, storage costs, options, additional items ans OSS</t>
  </si>
  <si>
    <t xml:space="preserve">Controleberekening </t>
  </si>
  <si>
    <t>Inkoop</t>
  </si>
  <si>
    <t>Budget max</t>
  </si>
  <si>
    <t>Supplier / offer ##-##2025</t>
  </si>
  <si>
    <t>Planten</t>
  </si>
  <si>
    <t>Total purchase costs</t>
  </si>
  <si>
    <t>Total calculation</t>
  </si>
  <si>
    <t>Estimate Costs PM [project del.]</t>
  </si>
  <si>
    <t>Fee 3rd party</t>
  </si>
  <si>
    <t>AV extra niet in basis</t>
  </si>
  <si>
    <t>Storage and waste disposal costs</t>
  </si>
  <si>
    <t>Options</t>
  </si>
  <si>
    <t>Additional Items</t>
  </si>
  <si>
    <t>Indication</t>
  </si>
  <si>
    <t>Total</t>
  </si>
  <si>
    <t>Budget client</t>
  </si>
  <si>
    <t>Calculation date</t>
  </si>
  <si>
    <r>
      <t>Storage and/or disposal costs -</t>
    </r>
    <r>
      <rPr>
        <b/>
        <sz val="10"/>
        <color rgb="FFFF0000"/>
        <rFont val="Arial"/>
        <family val="2"/>
      </rPr>
      <t xml:space="preserve"> 30%</t>
    </r>
  </si>
  <si>
    <t>Nr. of shows</t>
  </si>
  <si>
    <t>Builder:</t>
  </si>
  <si>
    <t>Concept:</t>
  </si>
  <si>
    <t>='Budget show 1'!E4</t>
  </si>
  <si>
    <t>='Budget show 1'!E14</t>
  </si>
  <si>
    <t>Project</t>
  </si>
  <si>
    <t>Purchase</t>
  </si>
  <si>
    <t>Sell</t>
  </si>
  <si>
    <t>Budget</t>
  </si>
  <si>
    <t>M2</t>
  </si>
  <si>
    <t>Total overview</t>
  </si>
  <si>
    <t>Package discount</t>
  </si>
  <si>
    <t>Total package</t>
  </si>
  <si>
    <t>Margin/show</t>
  </si>
  <si>
    <t>Margin stand</t>
  </si>
  <si>
    <t>In Euro</t>
  </si>
  <si>
    <t>In %</t>
  </si>
  <si>
    <t>Calculated</t>
  </si>
  <si>
    <t>Final margin</t>
  </si>
  <si>
    <t>Actual spend</t>
  </si>
  <si>
    <t>Country</t>
  </si>
  <si>
    <t>&lt;kies land&gt;</t>
  </si>
  <si>
    <t>Afghanistan</t>
  </si>
  <si>
    <t>single deck</t>
  </si>
  <si>
    <t>Albania</t>
  </si>
  <si>
    <t>double deck</t>
  </si>
  <si>
    <t>Algeria</t>
  </si>
  <si>
    <t>Andorra</t>
  </si>
  <si>
    <t>Angola</t>
  </si>
  <si>
    <t>island stand</t>
  </si>
  <si>
    <t>Antigua and Barbuda</t>
  </si>
  <si>
    <t>head stand</t>
  </si>
  <si>
    <t>Argentina</t>
  </si>
  <si>
    <t>corner stand</t>
  </si>
  <si>
    <t>Armenia</t>
  </si>
  <si>
    <t>row stand</t>
  </si>
  <si>
    <t>Australia</t>
  </si>
  <si>
    <t>other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</si>
  <si>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</si>
  <si>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</si>
  <si>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</si>
  <si>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</si>
  <si>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</si>
  <si>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</si>
  <si>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</si>
  <si>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</si>
  <si>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</si>
  <si>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</si>
  <si>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</si>
  <si>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</si>
  <si>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</si>
  <si>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</si>
  <si>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</si>
  <si>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</si>
  <si>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</si>
  <si>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</si>
  <si>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</si>
  <si>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</si>
  <si>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</si>
  <si>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</si>
  <si>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</si>
  <si>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</si>
  <si>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</si>
  <si>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</si>
  <si>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</si>
  <si>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</si>
  <si>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</si>
  <si>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</si>
  <si>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</si>
  <si>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</si>
  <si>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</si>
  <si>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</si>
  <si>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</si>
  <si>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</si>
  <si>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 (North Korea)</t>
  </si>
  <si>
    <t>Democratic Republic of the Cong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</si>
  <si>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</si>
  <si>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</si>
  <si>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</si>
  <si>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</si>
  <si>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</si>
  <si>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</si>
  <si>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</si>
  <si>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</si>
  <si>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</si>
  <si>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</si>
  <si>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</si>
  <si>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</si>
  <si>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</si>
  <si>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</si>
  <si>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</si>
  <si>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</si>
  <si>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</si>
  <si>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</si>
  <si>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</si>
  <si>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</si>
  <si>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</si>
  <si>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</si>
  <si>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</si>
  <si>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</si>
  <si>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</si>
  <si>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</si>
  <si>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</si>
  <si>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</si>
  <si>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</si>
  <si>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</si>
  <si>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</si>
  <si>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</si>
  <si>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</si>
  <si>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</si>
  <si>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</si>
  <si>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</si>
  <si>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</si>
  <si>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</si>
  <si>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</si>
  <si>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</si>
  <si>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</si>
  <si>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</si>
  <si>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</si>
  <si>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</si>
  <si>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 (Laos)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</si>
  <si>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</si>
  <si>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</si>
  <si>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</si>
  <si>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</si>
  <si>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</si>
  <si>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</si>
  <si>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</si>
  <si>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</si>
  <si>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</si>
  <si>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</si>
  <si>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</si>
  <si>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</si>
  <si>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</si>
  <si>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</si>
  <si>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</si>
  <si>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</si>
  <si>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</si>
  <si>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</si>
  <si>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</si>
  <si>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</si>
  <si>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</si>
  <si>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</si>
  <si>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</si>
  <si>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</si>
  <si>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</si>
  <si>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</si>
  <si>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</si>
  <si>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</si>
  <si>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</si>
  <si>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</si>
  <si>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</si>
  <si>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</si>
  <si>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</si>
  <si>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</si>
  <si>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</si>
  <si>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</si>
  <si>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</si>
  <si>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</si>
  <si>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</si>
  <si>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</si>
  <si>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</si>
  <si>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</si>
  <si>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</si>
  <si>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</si>
  <si>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</si>
  <si>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</si>
  <si>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 (South Korea)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</si>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</sst>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&quot;€&quot;\ * #,##0.00_-;_-&quot;€&quot;\ * #,##0.00\-;_-&quot;€&quot;\ * &quot;-&quot;??_-;_-@_-"/>
    <numFmt numFmtId="165" formatCode="dd/mm/yyyy;@"/>
    <numFmt numFmtId="166" formatCode="_-[$€-2]\ * #,##0.00_-;_-[$€-2]\ * #,##0.00\-;_-[$€-2]\ * &quot;-&quot;??_-;_-@_-"/>
    <numFmt numFmtId="167" formatCode="0.0%"/>
    <numFmt numFmtId="168" formatCode="_-[$$-45C]\ * #,##0.00_-;\-[$$-45C]\ * #,##0.00_-;_-[$$-45C]\ * &quot;-&quot;??_-;_-@_-"/>
    <numFmt numFmtId="169" formatCode="_-[$€-2]\ * #,##0.00000_-;_-[$€-2]\ * #,##0.00000\-;_-[$€-2]\ * &quot;-&quot;??_-;_-@_-"/>
    <numFmt numFmtId="170" formatCode="0.0"/>
    <numFmt numFmtId="171" formatCode="_([$€-2]\ * #,##0.00_);_([$€-2]\ * \(#,##0.00\);_([$€-2]\ * &quot;-&quot;??_);_(@_)"/>
    <numFmt numFmtId="172" formatCode="d/mmm/yyyy"/>
    <numFmt numFmtId="173" formatCode="#,##0_ ;\-#,##0\ "/>
    <numFmt numFmtId="174" formatCode="d/mm/yy;@"/>
    <numFmt numFmtId="175" formatCode="_-[$€-2]\ * #,##0.000_-;_-[$€-2]\ * #,##0.000\-;_-[$€-2]\ * &quot;-&quot;??_-;_-@_-"/>
  </numFmts>
  <fonts count="4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i/>
      <u/>
      <sz val="10"/>
      <name val="Arial"/>
      <family val="2"/>
    </font>
    <font>
      <sz val="10"/>
      <color indexed="44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0"/>
      <color theme="0" tint="-0.499984740745262"/>
      <name val="Arial"/>
      <family val="2"/>
    </font>
    <font>
      <sz val="8"/>
      <color theme="1"/>
      <name val="Calibri"/>
      <family val="2"/>
      <scheme val="minor"/>
    </font>
    <font>
      <b/>
      <sz val="10"/>
      <color indexed="56"/>
      <name val="Arial"/>
      <family val="2"/>
    </font>
    <font>
      <sz val="6"/>
      <name val="Arial"/>
      <family val="2"/>
    </font>
    <font>
      <sz val="6"/>
      <color theme="0" tint="-0.499984740745262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5B3D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52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95">
    <xf numFmtId="0" fontId="0" fillId="0" borderId="0" xfId="0"/>
    <xf numFmtId="0" fontId="4" fillId="0" borderId="0" xfId="14"/>
    <xf numFmtId="0" fontId="6" fillId="7" borderId="1" xfId="0" applyFont="1" applyFill="1" applyBorder="1"/>
    <xf numFmtId="0" fontId="4" fillId="0" borderId="0" xfId="0" applyFont="1"/>
    <xf numFmtId="166" fontId="7" fillId="2" borderId="3" xfId="0" applyNumberFormat="1" applyFont="1" applyFill="1" applyBorder="1"/>
    <xf numFmtId="166" fontId="7" fillId="2" borderId="4" xfId="0" applyNumberFormat="1" applyFont="1" applyFill="1" applyBorder="1"/>
    <xf numFmtId="166" fontId="7" fillId="5" borderId="4" xfId="0" applyNumberFormat="1" applyFont="1" applyFill="1" applyBorder="1"/>
    <xf numFmtId="169" fontId="7" fillId="2" borderId="4" xfId="0" applyNumberFormat="1" applyFont="1" applyFill="1" applyBorder="1"/>
    <xf numFmtId="49" fontId="8" fillId="2" borderId="3" xfId="0" applyNumberFormat="1" applyFont="1" applyFill="1" applyBorder="1"/>
    <xf numFmtId="1" fontId="8" fillId="3" borderId="2" xfId="0" applyNumberFormat="1" applyFont="1" applyFill="1" applyBorder="1"/>
    <xf numFmtId="168" fontId="8" fillId="4" borderId="2" xfId="0" quotePrefix="1" applyNumberFormat="1" applyFont="1" applyFill="1" applyBorder="1" applyAlignment="1">
      <alignment horizontal="left"/>
    </xf>
    <xf numFmtId="49" fontId="8" fillId="4" borderId="8" xfId="0" applyNumberFormat="1" applyFont="1" applyFill="1" applyBorder="1"/>
    <xf numFmtId="165" fontId="8" fillId="4" borderId="8" xfId="0" quotePrefix="1" applyNumberFormat="1" applyFont="1" applyFill="1" applyBorder="1" applyAlignment="1">
      <alignment horizontal="left"/>
    </xf>
    <xf numFmtId="165" fontId="8" fillId="4" borderId="2" xfId="0" quotePrefix="1" applyNumberFormat="1" applyFont="1" applyFill="1" applyBorder="1" applyAlignment="1">
      <alignment horizontal="center"/>
    </xf>
    <xf numFmtId="2" fontId="8" fillId="4" borderId="8" xfId="0" quotePrefix="1" applyNumberFormat="1" applyFont="1" applyFill="1" applyBorder="1" applyAlignment="1">
      <alignment horizontal="left"/>
    </xf>
    <xf numFmtId="2" fontId="8" fillId="4" borderId="4" xfId="0" quotePrefix="1" applyNumberFormat="1" applyFont="1" applyFill="1" applyBorder="1" applyAlignment="1">
      <alignment horizontal="left"/>
    </xf>
    <xf numFmtId="49" fontId="8" fillId="2" borderId="8" xfId="0" applyNumberFormat="1" applyFont="1" applyFill="1" applyBorder="1"/>
    <xf numFmtId="49" fontId="8" fillId="2" borderId="4" xfId="0" applyNumberFormat="1" applyFont="1" applyFill="1" applyBorder="1"/>
    <xf numFmtId="0" fontId="7" fillId="8" borderId="2" xfId="0" applyFont="1" applyFill="1" applyBorder="1"/>
    <xf numFmtId="0" fontId="7" fillId="8" borderId="3" xfId="0" applyFont="1" applyFill="1" applyBorder="1"/>
    <xf numFmtId="166" fontId="7" fillId="5" borderId="3" xfId="0" applyNumberFormat="1" applyFont="1" applyFill="1" applyBorder="1"/>
    <xf numFmtId="166" fontId="7" fillId="5" borderId="8" xfId="0" applyNumberFormat="1" applyFont="1" applyFill="1" applyBorder="1"/>
    <xf numFmtId="0" fontId="7" fillId="8" borderId="8" xfId="0" applyFont="1" applyFill="1" applyBorder="1"/>
    <xf numFmtId="166" fontId="7" fillId="5" borderId="2" xfId="0" applyNumberFormat="1" applyFont="1" applyFill="1" applyBorder="1"/>
    <xf numFmtId="167" fontId="11" fillId="0" borderId="0" xfId="1" applyNumberFormat="1" applyFont="1"/>
    <xf numFmtId="170" fontId="4" fillId="2" borderId="3" xfId="1" applyNumberFormat="1" applyFont="1" applyFill="1" applyBorder="1" applyAlignment="1">
      <alignment horizontal="center"/>
    </xf>
    <xf numFmtId="170" fontId="4" fillId="2" borderId="8" xfId="1" applyNumberFormat="1" applyFont="1" applyFill="1" applyBorder="1" applyAlignment="1">
      <alignment horizontal="center"/>
    </xf>
    <xf numFmtId="1" fontId="8" fillId="3" borderId="3" xfId="0" applyNumberFormat="1" applyFont="1" applyFill="1" applyBorder="1"/>
    <xf numFmtId="1" fontId="8" fillId="3" borderId="4" xfId="0" applyNumberFormat="1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6" fontId="4" fillId="0" borderId="0" xfId="0" applyNumberFormat="1" applyFont="1"/>
    <xf numFmtId="166" fontId="4" fillId="6" borderId="8" xfId="0" applyNumberFormat="1" applyFont="1" applyFill="1" applyBorder="1"/>
    <xf numFmtId="166" fontId="4" fillId="6" borderId="3" xfId="0" applyNumberFormat="1" applyFont="1" applyFill="1" applyBorder="1"/>
    <xf numFmtId="166" fontId="4" fillId="6" borderId="4" xfId="0" applyNumberFormat="1" applyFont="1" applyFill="1" applyBorder="1"/>
    <xf numFmtId="166" fontId="7" fillId="2" borderId="8" xfId="0" applyNumberFormat="1" applyFont="1" applyFill="1" applyBorder="1"/>
    <xf numFmtId="1" fontId="8" fillId="3" borderId="8" xfId="0" applyNumberFormat="1" applyFont="1" applyFill="1" applyBorder="1"/>
    <xf numFmtId="170" fontId="4" fillId="2" borderId="6" xfId="1" applyNumberFormat="1" applyFont="1" applyFill="1" applyBorder="1" applyAlignment="1">
      <alignment horizontal="center"/>
    </xf>
    <xf numFmtId="10" fontId="4" fillId="6" borderId="4" xfId="1" applyNumberFormat="1" applyFont="1" applyFill="1" applyBorder="1"/>
    <xf numFmtId="0" fontId="7" fillId="8" borderId="3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7" fillId="8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170" fontId="4" fillId="2" borderId="2" xfId="1" applyNumberFormat="1" applyFont="1" applyFill="1" applyBorder="1" applyAlignment="1">
      <alignment horizontal="center"/>
    </xf>
    <xf numFmtId="170" fontId="4" fillId="0" borderId="0" xfId="0" applyNumberFormat="1" applyFont="1"/>
    <xf numFmtId="166" fontId="4" fillId="6" borderId="2" xfId="0" applyNumberFormat="1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1" fontId="16" fillId="0" borderId="0" xfId="0" applyNumberFormat="1" applyFont="1" applyAlignment="1">
      <alignment horizontal="left"/>
    </xf>
    <xf numFmtId="166" fontId="7" fillId="10" borderId="2" xfId="0" applyNumberFormat="1" applyFont="1" applyFill="1" applyBorder="1"/>
    <xf numFmtId="171" fontId="17" fillId="9" borderId="2" xfId="0" applyNumberFormat="1" applyFont="1" applyFill="1" applyBorder="1"/>
    <xf numFmtId="0" fontId="17" fillId="8" borderId="2" xfId="0" applyFont="1" applyFill="1" applyBorder="1" applyAlignment="1">
      <alignment horizontal="right"/>
    </xf>
    <xf numFmtId="165" fontId="8" fillId="4" borderId="4" xfId="0" quotePrefix="1" applyNumberFormat="1" applyFont="1" applyFill="1" applyBorder="1" applyAlignment="1">
      <alignment horizontal="left"/>
    </xf>
    <xf numFmtId="1" fontId="14" fillId="3" borderId="2" xfId="0" applyNumberFormat="1" applyFont="1" applyFill="1" applyBorder="1"/>
    <xf numFmtId="1" fontId="14" fillId="3" borderId="3" xfId="0" applyNumberFormat="1" applyFont="1" applyFill="1" applyBorder="1"/>
    <xf numFmtId="0" fontId="15" fillId="0" borderId="0" xfId="0" applyFont="1"/>
    <xf numFmtId="166" fontId="15" fillId="0" borderId="0" xfId="0" applyNumberFormat="1" applyFont="1"/>
    <xf numFmtId="166" fontId="16" fillId="0" borderId="0" xfId="0" applyNumberFormat="1" applyFont="1"/>
    <xf numFmtId="1" fontId="8" fillId="10" borderId="2" xfId="0" applyNumberFormat="1" applyFont="1" applyFill="1" applyBorder="1"/>
    <xf numFmtId="2" fontId="18" fillId="0" borderId="0" xfId="245" applyNumberFormat="1" applyFont="1" applyAlignment="1">
      <alignment horizontal="right"/>
    </xf>
    <xf numFmtId="4" fontId="18" fillId="0" borderId="0" xfId="245" applyNumberFormat="1" applyFont="1" applyAlignment="1">
      <alignment horizontal="left"/>
    </xf>
    <xf numFmtId="2" fontId="19" fillId="0" borderId="0" xfId="245" applyNumberFormat="1" applyFont="1" applyAlignment="1">
      <alignment horizontal="left"/>
    </xf>
    <xf numFmtId="2" fontId="19" fillId="0" borderId="15" xfId="245" applyNumberFormat="1" applyFont="1" applyBorder="1" applyAlignment="1">
      <alignment horizontal="center"/>
    </xf>
    <xf numFmtId="4" fontId="19" fillId="0" borderId="15" xfId="245" applyNumberFormat="1" applyFont="1" applyBorder="1" applyAlignment="1">
      <alignment horizontal="center"/>
    </xf>
    <xf numFmtId="2" fontId="19" fillId="0" borderId="0" xfId="245" applyNumberFormat="1" applyFont="1" applyAlignment="1">
      <alignment horizontal="center"/>
    </xf>
    <xf numFmtId="4" fontId="19" fillId="0" borderId="0" xfId="245" applyNumberFormat="1" applyFont="1" applyAlignment="1">
      <alignment horizontal="center"/>
    </xf>
    <xf numFmtId="2" fontId="19" fillId="0" borderId="0" xfId="245" applyNumberFormat="1" applyFont="1"/>
    <xf numFmtId="2" fontId="13" fillId="3" borderId="2" xfId="245" applyNumberFormat="1" applyFill="1" applyBorder="1"/>
    <xf numFmtId="2" fontId="13" fillId="0" borderId="8" xfId="245" applyNumberFormat="1" applyBorder="1"/>
    <xf numFmtId="171" fontId="13" fillId="6" borderId="8" xfId="245" applyNumberFormat="1" applyFill="1" applyBorder="1"/>
    <xf numFmtId="2" fontId="13" fillId="0" borderId="8" xfId="245" applyNumberFormat="1" applyBorder="1" applyAlignment="1">
      <alignment horizontal="left"/>
    </xf>
    <xf numFmtId="171" fontId="13" fillId="0" borderId="8" xfId="245" applyNumberFormat="1" applyBorder="1"/>
    <xf numFmtId="2" fontId="19" fillId="3" borderId="21" xfId="245" applyNumberFormat="1" applyFont="1" applyFill="1" applyBorder="1" applyAlignment="1">
      <alignment horizontal="right"/>
    </xf>
    <xf numFmtId="166" fontId="13" fillId="6" borderId="21" xfId="245" applyNumberFormat="1" applyFill="1" applyBorder="1" applyAlignment="1">
      <alignment horizontal="left"/>
    </xf>
    <xf numFmtId="4" fontId="19" fillId="0" borderId="0" xfId="245" applyNumberFormat="1" applyFont="1"/>
    <xf numFmtId="2" fontId="19" fillId="3" borderId="2" xfId="245" applyNumberFormat="1" applyFont="1" applyFill="1" applyBorder="1"/>
    <xf numFmtId="2" fontId="13" fillId="0" borderId="4" xfId="245" applyNumberFormat="1" applyBorder="1" applyAlignment="1">
      <alignment horizontal="left"/>
    </xf>
    <xf numFmtId="171" fontId="13" fillId="0" borderId="4" xfId="245" applyNumberFormat="1" applyBorder="1"/>
    <xf numFmtId="2" fontId="19" fillId="4" borderId="21" xfId="245" applyNumberFormat="1" applyFont="1" applyFill="1" applyBorder="1" applyAlignment="1">
      <alignment horizontal="right"/>
    </xf>
    <xf numFmtId="4" fontId="21" fillId="0" borderId="0" xfId="245" applyNumberFormat="1" applyFont="1"/>
    <xf numFmtId="2" fontId="23" fillId="0" borderId="0" xfId="245" applyNumberFormat="1" applyFont="1"/>
    <xf numFmtId="2" fontId="13" fillId="0" borderId="3" xfId="245" applyNumberFormat="1" applyBorder="1"/>
    <xf numFmtId="2" fontId="22" fillId="0" borderId="8" xfId="245" applyNumberFormat="1" applyFont="1" applyBorder="1"/>
    <xf numFmtId="2" fontId="13" fillId="0" borderId="4" xfId="245" applyNumberFormat="1" applyBorder="1"/>
    <xf numFmtId="2" fontId="19" fillId="3" borderId="3" xfId="245" applyNumberFormat="1" applyFont="1" applyFill="1" applyBorder="1"/>
    <xf numFmtId="2" fontId="19" fillId="3" borderId="3" xfId="245" applyNumberFormat="1" applyFont="1" applyFill="1" applyBorder="1" applyAlignment="1">
      <alignment horizontal="right"/>
    </xf>
    <xf numFmtId="2" fontId="19" fillId="3" borderId="4" xfId="245" applyNumberFormat="1" applyFont="1" applyFill="1" applyBorder="1" applyAlignment="1">
      <alignment horizontal="right"/>
    </xf>
    <xf numFmtId="4" fontId="19" fillId="3" borderId="2" xfId="245" applyNumberFormat="1" applyFont="1" applyFill="1" applyBorder="1"/>
    <xf numFmtId="4" fontId="13" fillId="0" borderId="3" xfId="245" applyNumberFormat="1" applyBorder="1" applyAlignment="1">
      <alignment horizontal="left"/>
    </xf>
    <xf numFmtId="0" fontId="13" fillId="0" borderId="4" xfId="245" applyBorder="1" applyAlignment="1">
      <alignment horizontal="left"/>
    </xf>
    <xf numFmtId="171" fontId="13" fillId="9" borderId="4" xfId="245" applyNumberFormat="1" applyFill="1" applyBorder="1" applyAlignment="1">
      <alignment horizontal="left"/>
    </xf>
    <xf numFmtId="2" fontId="19" fillId="3" borderId="2" xfId="245" applyNumberFormat="1" applyFont="1" applyFill="1" applyBorder="1" applyAlignment="1">
      <alignment horizontal="right"/>
    </xf>
    <xf numFmtId="14" fontId="19" fillId="3" borderId="2" xfId="245" applyNumberFormat="1" applyFont="1" applyFill="1" applyBorder="1" applyAlignment="1">
      <alignment horizontal="center"/>
    </xf>
    <xf numFmtId="2" fontId="19" fillId="6" borderId="17" xfId="245" applyNumberFormat="1" applyFont="1" applyFill="1" applyBorder="1"/>
    <xf numFmtId="2" fontId="19" fillId="6" borderId="18" xfId="245" applyNumberFormat="1" applyFont="1" applyFill="1" applyBorder="1"/>
    <xf numFmtId="2" fontId="19" fillId="6" borderId="19" xfId="245" applyNumberFormat="1" applyFont="1" applyFill="1" applyBorder="1"/>
    <xf numFmtId="172" fontId="19" fillId="3" borderId="2" xfId="0" applyNumberFormat="1" applyFont="1" applyFill="1" applyBorder="1" applyAlignment="1">
      <alignment horizontal="center"/>
    </xf>
    <xf numFmtId="4" fontId="19" fillId="3" borderId="2" xfId="0" applyNumberFormat="1" applyFont="1" applyFill="1" applyBorder="1" applyAlignment="1">
      <alignment horizontal="center"/>
    </xf>
    <xf numFmtId="49" fontId="19" fillId="3" borderId="2" xfId="0" applyNumberFormat="1" applyFont="1" applyFill="1" applyBorder="1" applyAlignment="1">
      <alignment horizontal="center"/>
    </xf>
    <xf numFmtId="49" fontId="19" fillId="3" borderId="3" xfId="0" applyNumberFormat="1" applyFont="1" applyFill="1" applyBorder="1" applyAlignment="1">
      <alignment horizontal="center"/>
    </xf>
    <xf numFmtId="1" fontId="13" fillId="0" borderId="0" xfId="245" applyNumberFormat="1"/>
    <xf numFmtId="4" fontId="13" fillId="0" borderId="0" xfId="245" applyNumberFormat="1"/>
    <xf numFmtId="171" fontId="13" fillId="4" borderId="3" xfId="245" applyNumberFormat="1" applyFill="1" applyBorder="1"/>
    <xf numFmtId="171" fontId="13" fillId="4" borderId="8" xfId="245" applyNumberFormat="1" applyFill="1" applyBorder="1"/>
    <xf numFmtId="171" fontId="13" fillId="2" borderId="8" xfId="245" applyNumberFormat="1" applyFill="1" applyBorder="1"/>
    <xf numFmtId="4" fontId="13" fillId="14" borderId="2" xfId="245" applyNumberFormat="1" applyFill="1" applyBorder="1" applyAlignment="1">
      <alignment horizontal="center"/>
    </xf>
    <xf numFmtId="171" fontId="13" fillId="11" borderId="2" xfId="245" applyNumberFormat="1" applyFill="1" applyBorder="1"/>
    <xf numFmtId="2" fontId="24" fillId="4" borderId="2" xfId="0" quotePrefix="1" applyNumberFormat="1" applyFont="1" applyFill="1" applyBorder="1" applyAlignment="1">
      <alignment horizontal="center"/>
    </xf>
    <xf numFmtId="1" fontId="24" fillId="4" borderId="20" xfId="0" applyNumberFormat="1" applyFont="1" applyFill="1" applyBorder="1" applyAlignment="1">
      <alignment horizontal="center"/>
    </xf>
    <xf numFmtId="173" fontId="24" fillId="12" borderId="2" xfId="579" applyNumberFormat="1" applyFont="1" applyFill="1" applyBorder="1" applyAlignment="1">
      <alignment horizontal="center"/>
    </xf>
    <xf numFmtId="2" fontId="13" fillId="6" borderId="20" xfId="0" applyNumberFormat="1" applyFont="1" applyFill="1" applyBorder="1" applyAlignment="1">
      <alignment horizontal="right"/>
    </xf>
    <xf numFmtId="2" fontId="13" fillId="13" borderId="8" xfId="245" applyNumberFormat="1" applyFill="1" applyBorder="1"/>
    <xf numFmtId="171" fontId="13" fillId="0" borderId="23" xfId="245" applyNumberFormat="1" applyBorder="1"/>
    <xf numFmtId="171" fontId="13" fillId="6" borderId="23" xfId="245" applyNumberFormat="1" applyFill="1" applyBorder="1"/>
    <xf numFmtId="10" fontId="13" fillId="6" borderId="2" xfId="247" applyNumberFormat="1" applyFont="1" applyFill="1" applyBorder="1"/>
    <xf numFmtId="10" fontId="13" fillId="6" borderId="2" xfId="247" applyNumberFormat="1" applyFont="1" applyFill="1" applyBorder="1" applyAlignment="1">
      <alignment horizontal="center"/>
    </xf>
    <xf numFmtId="171" fontId="13" fillId="6" borderId="3" xfId="245" applyNumberFormat="1" applyFill="1" applyBorder="1" applyAlignment="1">
      <alignment horizontal="left"/>
    </xf>
    <xf numFmtId="171" fontId="13" fillId="6" borderId="4" xfId="245" applyNumberFormat="1" applyFill="1" applyBorder="1" applyAlignment="1">
      <alignment horizontal="left"/>
    </xf>
    <xf numFmtId="2" fontId="18" fillId="6" borderId="2" xfId="0" applyNumberFormat="1" applyFont="1" applyFill="1" applyBorder="1" applyAlignment="1">
      <alignment horizontal="center"/>
    </xf>
    <xf numFmtId="171" fontId="0" fillId="0" borderId="0" xfId="0" applyNumberFormat="1"/>
    <xf numFmtId="4" fontId="0" fillId="0" borderId="0" xfId="0" applyNumberFormat="1"/>
    <xf numFmtId="0" fontId="4" fillId="8" borderId="3" xfId="0" applyFont="1" applyFill="1" applyBorder="1" applyAlignment="1">
      <alignment horizontal="left"/>
    </xf>
    <xf numFmtId="166" fontId="4" fillId="6" borderId="3" xfId="247" applyNumberFormat="1" applyFont="1" applyFill="1" applyBorder="1" applyAlignment="1">
      <alignment horizontal="center"/>
    </xf>
    <xf numFmtId="0" fontId="4" fillId="8" borderId="8" xfId="0" applyFont="1" applyFill="1" applyBorder="1" applyAlignment="1">
      <alignment horizontal="left"/>
    </xf>
    <xf numFmtId="166" fontId="4" fillId="6" borderId="8" xfId="247" applyNumberFormat="1" applyFont="1" applyFill="1" applyBorder="1" applyAlignment="1">
      <alignment horizontal="center"/>
    </xf>
    <xf numFmtId="0" fontId="4" fillId="8" borderId="4" xfId="0" applyFont="1" applyFill="1" applyBorder="1" applyAlignment="1">
      <alignment horizontal="left"/>
    </xf>
    <xf numFmtId="166" fontId="4" fillId="2" borderId="4" xfId="247" applyNumberFormat="1" applyFont="1" applyFill="1" applyBorder="1" applyAlignment="1">
      <alignment horizontal="center"/>
    </xf>
    <xf numFmtId="10" fontId="4" fillId="6" borderId="3" xfId="247" applyNumberFormat="1" applyFont="1" applyFill="1" applyBorder="1" applyAlignment="1">
      <alignment horizontal="center"/>
    </xf>
    <xf numFmtId="10" fontId="4" fillId="6" borderId="8" xfId="247" applyNumberFormat="1" applyFont="1" applyFill="1" applyBorder="1" applyAlignment="1">
      <alignment horizontal="center"/>
    </xf>
    <xf numFmtId="10" fontId="4" fillId="2" borderId="4" xfId="247" applyNumberFormat="1" applyFont="1" applyFill="1" applyBorder="1" applyAlignment="1">
      <alignment horizontal="center"/>
    </xf>
    <xf numFmtId="174" fontId="24" fillId="4" borderId="2" xfId="0" quotePrefix="1" applyNumberFormat="1" applyFont="1" applyFill="1" applyBorder="1" applyAlignment="1">
      <alignment horizontal="center"/>
    </xf>
    <xf numFmtId="4" fontId="4" fillId="8" borderId="2" xfId="0" applyNumberFormat="1" applyFont="1" applyFill="1" applyBorder="1" applyAlignment="1">
      <alignment horizontal="center"/>
    </xf>
    <xf numFmtId="4" fontId="4" fillId="8" borderId="3" xfId="0" applyNumberFormat="1" applyFont="1" applyFill="1" applyBorder="1" applyAlignment="1">
      <alignment horizontal="center"/>
    </xf>
    <xf numFmtId="4" fontId="25" fillId="5" borderId="3" xfId="0" applyNumberFormat="1" applyFont="1" applyFill="1" applyBorder="1"/>
    <xf numFmtId="166" fontId="7" fillId="0" borderId="4" xfId="0" applyNumberFormat="1" applyFont="1" applyBorder="1"/>
    <xf numFmtId="170" fontId="4" fillId="0" borderId="4" xfId="1" applyNumberFormat="1" applyFont="1" applyFill="1" applyBorder="1" applyAlignment="1">
      <alignment horizontal="center"/>
    </xf>
    <xf numFmtId="0" fontId="7" fillId="0" borderId="4" xfId="0" applyFont="1" applyBorder="1"/>
    <xf numFmtId="1" fontId="13" fillId="0" borderId="8" xfId="0" applyNumberFormat="1" applyFont="1" applyBorder="1"/>
    <xf numFmtId="166" fontId="13" fillId="0" borderId="8" xfId="245" applyNumberFormat="1" applyBorder="1"/>
    <xf numFmtId="166" fontId="7" fillId="2" borderId="2" xfId="0" applyNumberFormat="1" applyFont="1" applyFill="1" applyBorder="1"/>
    <xf numFmtId="2" fontId="13" fillId="0" borderId="0" xfId="245" applyNumberFormat="1"/>
    <xf numFmtId="4" fontId="28" fillId="0" borderId="0" xfId="246" applyNumberFormat="1" applyFont="1" applyFill="1" applyAlignment="1">
      <alignment horizontal="left"/>
    </xf>
    <xf numFmtId="4" fontId="19" fillId="0" borderId="0" xfId="245" applyNumberFormat="1" applyFont="1" applyAlignment="1">
      <alignment horizontal="right"/>
    </xf>
    <xf numFmtId="4" fontId="19" fillId="0" borderId="0" xfId="245" applyNumberFormat="1" applyFont="1" applyAlignment="1">
      <alignment horizontal="left"/>
    </xf>
    <xf numFmtId="1" fontId="13" fillId="0" borderId="15" xfId="245" applyNumberFormat="1" applyBorder="1"/>
    <xf numFmtId="4" fontId="18" fillId="0" borderId="0" xfId="245" applyNumberFormat="1" applyFont="1" applyAlignment="1">
      <alignment horizontal="center"/>
    </xf>
    <xf numFmtId="1" fontId="13" fillId="0" borderId="0" xfId="245" applyNumberFormat="1" applyAlignment="1">
      <alignment horizontal="right"/>
    </xf>
    <xf numFmtId="0" fontId="13" fillId="0" borderId="0" xfId="245"/>
    <xf numFmtId="4" fontId="19" fillId="3" borderId="2" xfId="245" applyNumberFormat="1" applyFont="1" applyFill="1" applyBorder="1" applyAlignment="1">
      <alignment horizontal="center"/>
    </xf>
    <xf numFmtId="49" fontId="19" fillId="0" borderId="0" xfId="245" applyNumberFormat="1" applyFont="1" applyAlignment="1">
      <alignment horizontal="center"/>
    </xf>
    <xf numFmtId="2" fontId="13" fillId="0" borderId="0" xfId="245" quotePrefix="1" applyNumberFormat="1" applyAlignment="1">
      <alignment horizontal="center"/>
    </xf>
    <xf numFmtId="2" fontId="19" fillId="14" borderId="2" xfId="245" applyNumberFormat="1" applyFont="1" applyFill="1" applyBorder="1"/>
    <xf numFmtId="1" fontId="13" fillId="0" borderId="23" xfId="245" applyNumberFormat="1" applyBorder="1"/>
    <xf numFmtId="2" fontId="13" fillId="0" borderId="23" xfId="245" applyNumberFormat="1" applyBorder="1"/>
    <xf numFmtId="166" fontId="13" fillId="0" borderId="3" xfId="245" applyNumberFormat="1" applyBorder="1" applyAlignment="1">
      <alignment horizontal="left"/>
    </xf>
    <xf numFmtId="166" fontId="13" fillId="0" borderId="0" xfId="245" applyNumberFormat="1"/>
    <xf numFmtId="166" fontId="13" fillId="0" borderId="8" xfId="245" applyNumberFormat="1" applyBorder="1" applyAlignment="1">
      <alignment horizontal="left"/>
    </xf>
    <xf numFmtId="166" fontId="19" fillId="5" borderId="8" xfId="245" applyNumberFormat="1" applyFont="1" applyFill="1" applyBorder="1" applyAlignment="1">
      <alignment horizontal="left"/>
    </xf>
    <xf numFmtId="166" fontId="13" fillId="0" borderId="4" xfId="245" applyNumberFormat="1" applyBorder="1" applyAlignment="1">
      <alignment horizontal="left"/>
    </xf>
    <xf numFmtId="166" fontId="13" fillId="0" borderId="23" xfId="245" applyNumberFormat="1" applyBorder="1" applyAlignment="1">
      <alignment horizontal="left"/>
    </xf>
    <xf numFmtId="166" fontId="19" fillId="0" borderId="0" xfId="245" applyNumberFormat="1" applyFont="1"/>
    <xf numFmtId="166" fontId="13" fillId="2" borderId="21" xfId="245" applyNumberFormat="1" applyFill="1" applyBorder="1"/>
    <xf numFmtId="166" fontId="13" fillId="15" borderId="21" xfId="245" applyNumberFormat="1" applyFill="1" applyBorder="1"/>
    <xf numFmtId="4" fontId="21" fillId="0" borderId="0" xfId="245" applyNumberFormat="1" applyFont="1" applyAlignment="1">
      <alignment horizontal="center"/>
    </xf>
    <xf numFmtId="166" fontId="13" fillId="4" borderId="3" xfId="245" applyNumberFormat="1" applyFill="1" applyBorder="1" applyAlignment="1">
      <alignment horizontal="left"/>
    </xf>
    <xf numFmtId="166" fontId="19" fillId="5" borderId="3" xfId="245" applyNumberFormat="1" applyFont="1" applyFill="1" applyBorder="1" applyAlignment="1">
      <alignment horizontal="left"/>
    </xf>
    <xf numFmtId="166" fontId="13" fillId="0" borderId="0" xfId="245" applyNumberFormat="1" applyAlignment="1">
      <alignment horizontal="left"/>
    </xf>
    <xf numFmtId="166" fontId="13" fillId="4" borderId="8" xfId="245" applyNumberFormat="1" applyFill="1" applyBorder="1" applyAlignment="1">
      <alignment horizontal="left"/>
    </xf>
    <xf numFmtId="166" fontId="19" fillId="0" borderId="0" xfId="245" applyNumberFormat="1" applyFont="1" applyAlignment="1">
      <alignment horizontal="left"/>
    </xf>
    <xf numFmtId="2" fontId="13" fillId="0" borderId="0" xfId="245" applyNumberFormat="1" applyAlignment="1">
      <alignment horizontal="right"/>
    </xf>
    <xf numFmtId="4" fontId="21" fillId="0" borderId="0" xfId="245" applyNumberFormat="1" applyFont="1" applyAlignment="1">
      <alignment horizontal="left"/>
    </xf>
    <xf numFmtId="166" fontId="19" fillId="0" borderId="8" xfId="245" applyNumberFormat="1" applyFont="1" applyBorder="1" applyAlignment="1">
      <alignment horizontal="left"/>
    </xf>
    <xf numFmtId="4" fontId="21" fillId="0" borderId="0" xfId="245" applyNumberFormat="1" applyFont="1" applyAlignment="1">
      <alignment horizontal="right"/>
    </xf>
    <xf numFmtId="166" fontId="19" fillId="5" borderId="2" xfId="245" applyNumberFormat="1" applyFont="1" applyFill="1" applyBorder="1" applyAlignment="1">
      <alignment horizontal="left"/>
    </xf>
    <xf numFmtId="166" fontId="13" fillId="4" borderId="6" xfId="245" applyNumberFormat="1" applyFill="1" applyBorder="1" applyAlignment="1">
      <alignment horizontal="left"/>
    </xf>
    <xf numFmtId="166" fontId="13" fillId="4" borderId="5" xfId="245" applyNumberFormat="1" applyFill="1" applyBorder="1" applyAlignment="1">
      <alignment horizontal="left"/>
    </xf>
    <xf numFmtId="166" fontId="19" fillId="5" borderId="4" xfId="245" applyNumberFormat="1" applyFont="1" applyFill="1" applyBorder="1" applyAlignment="1">
      <alignment horizontal="left"/>
    </xf>
    <xf numFmtId="166" fontId="13" fillId="0" borderId="6" xfId="245" applyNumberFormat="1" applyBorder="1" applyAlignment="1">
      <alignment horizontal="left"/>
    </xf>
    <xf numFmtId="166" fontId="13" fillId="0" borderId="4" xfId="245" applyNumberFormat="1" applyBorder="1"/>
    <xf numFmtId="166" fontId="21" fillId="3" borderId="4" xfId="245" applyNumberFormat="1" applyFont="1" applyFill="1" applyBorder="1" applyAlignment="1">
      <alignment horizontal="center"/>
    </xf>
    <xf numFmtId="166" fontId="21" fillId="0" borderId="0" xfId="245" applyNumberFormat="1" applyFont="1" applyAlignment="1">
      <alignment horizontal="center"/>
    </xf>
    <xf numFmtId="166" fontId="13" fillId="0" borderId="0" xfId="245" applyNumberFormat="1" applyAlignment="1">
      <alignment horizontal="center"/>
    </xf>
    <xf numFmtId="166" fontId="13" fillId="2" borderId="2" xfId="245" applyNumberFormat="1" applyFill="1" applyBorder="1"/>
    <xf numFmtId="10" fontId="21" fillId="0" borderId="0" xfId="247" applyNumberFormat="1" applyFont="1" applyFill="1" applyBorder="1" applyAlignment="1">
      <alignment horizontal="center"/>
    </xf>
    <xf numFmtId="166" fontId="19" fillId="0" borderId="7" xfId="245" applyNumberFormat="1" applyFont="1" applyBorder="1"/>
    <xf numFmtId="166" fontId="19" fillId="5" borderId="2" xfId="245" applyNumberFormat="1" applyFont="1" applyFill="1" applyBorder="1"/>
    <xf numFmtId="166" fontId="19" fillId="5" borderId="21" xfId="245" applyNumberFormat="1" applyFont="1" applyFill="1" applyBorder="1"/>
    <xf numFmtId="166" fontId="19" fillId="5" borderId="21" xfId="245" applyNumberFormat="1" applyFont="1" applyFill="1" applyBorder="1" applyAlignment="1">
      <alignment horizontal="left"/>
    </xf>
    <xf numFmtId="166" fontId="19" fillId="5" borderId="25" xfId="245" applyNumberFormat="1" applyFont="1" applyFill="1" applyBorder="1"/>
    <xf numFmtId="166" fontId="13" fillId="2" borderId="8" xfId="245" applyNumberFormat="1" applyFill="1" applyBorder="1" applyAlignment="1">
      <alignment horizontal="left"/>
    </xf>
    <xf numFmtId="175" fontId="13" fillId="0" borderId="6" xfId="245" applyNumberFormat="1" applyBorder="1"/>
    <xf numFmtId="166" fontId="13" fillId="0" borderId="6" xfId="245" applyNumberFormat="1" applyBorder="1"/>
    <xf numFmtId="166" fontId="19" fillId="5" borderId="22" xfId="245" applyNumberFormat="1" applyFont="1" applyFill="1" applyBorder="1"/>
    <xf numFmtId="166" fontId="19" fillId="5" borderId="23" xfId="245" applyNumberFormat="1" applyFont="1" applyFill="1" applyBorder="1"/>
    <xf numFmtId="166" fontId="19" fillId="5" borderId="24" xfId="245" applyNumberFormat="1" applyFont="1" applyFill="1" applyBorder="1"/>
    <xf numFmtId="166" fontId="13" fillId="6" borderId="5" xfId="245" applyNumberFormat="1" applyFill="1" applyBorder="1"/>
    <xf numFmtId="166" fontId="13" fillId="6" borderId="3" xfId="245" applyNumberFormat="1" applyFill="1" applyBorder="1"/>
    <xf numFmtId="166" fontId="13" fillId="6" borderId="8" xfId="245" applyNumberFormat="1" applyFill="1" applyBorder="1"/>
    <xf numFmtId="166" fontId="13" fillId="6" borderId="6" xfId="245" applyNumberFormat="1" applyFill="1" applyBorder="1"/>
    <xf numFmtId="166" fontId="13" fillId="6" borderId="7" xfId="245" applyNumberFormat="1" applyFill="1" applyBorder="1"/>
    <xf numFmtId="166" fontId="13" fillId="6" borderId="4" xfId="245" applyNumberFormat="1" applyFill="1" applyBorder="1"/>
    <xf numFmtId="166" fontId="13" fillId="6" borderId="25" xfId="245" applyNumberFormat="1" applyFill="1" applyBorder="1"/>
    <xf numFmtId="166" fontId="13" fillId="6" borderId="26" xfId="245" applyNumberFormat="1" applyFill="1" applyBorder="1"/>
    <xf numFmtId="166" fontId="13" fillId="6" borderId="2" xfId="245" applyNumberFormat="1" applyFill="1" applyBorder="1" applyAlignment="1">
      <alignment horizontal="center"/>
    </xf>
    <xf numFmtId="166" fontId="13" fillId="6" borderId="3" xfId="245" applyNumberFormat="1" applyFill="1" applyBorder="1" applyAlignment="1">
      <alignment horizontal="left"/>
    </xf>
    <xf numFmtId="166" fontId="13" fillId="6" borderId="8" xfId="245" applyNumberFormat="1" applyFill="1" applyBorder="1" applyAlignment="1">
      <alignment horizontal="left"/>
    </xf>
    <xf numFmtId="166" fontId="13" fillId="6" borderId="2" xfId="245" applyNumberFormat="1" applyFill="1" applyBorder="1" applyAlignment="1">
      <alignment horizontal="left"/>
    </xf>
    <xf numFmtId="166" fontId="13" fillId="6" borderId="4" xfId="245" applyNumberFormat="1" applyFill="1" applyBorder="1" applyAlignment="1">
      <alignment horizontal="left"/>
    </xf>
    <xf numFmtId="166" fontId="13" fillId="6" borderId="22" xfId="245" applyNumberFormat="1" applyFill="1" applyBorder="1" applyAlignment="1">
      <alignment horizontal="left"/>
    </xf>
    <xf numFmtId="166" fontId="13" fillId="6" borderId="23" xfId="245" applyNumberFormat="1" applyFill="1" applyBorder="1" applyAlignment="1">
      <alignment horizontal="left"/>
    </xf>
    <xf numFmtId="166" fontId="13" fillId="6" borderId="21" xfId="245" applyNumberFormat="1" applyFill="1" applyBorder="1"/>
    <xf numFmtId="166" fontId="13" fillId="6" borderId="28" xfId="245" applyNumberFormat="1" applyFill="1" applyBorder="1"/>
    <xf numFmtId="10" fontId="24" fillId="6" borderId="2" xfId="247" applyNumberFormat="1" applyFont="1" applyFill="1" applyBorder="1"/>
    <xf numFmtId="0" fontId="13" fillId="4" borderId="2" xfId="245" applyFill="1" applyBorder="1"/>
    <xf numFmtId="0" fontId="13" fillId="4" borderId="20" xfId="245" quotePrefix="1" applyFill="1" applyBorder="1"/>
    <xf numFmtId="0" fontId="13" fillId="4" borderId="29" xfId="245" applyFill="1" applyBorder="1"/>
    <xf numFmtId="0" fontId="13" fillId="16" borderId="2" xfId="245" applyFill="1" applyBorder="1"/>
    <xf numFmtId="0" fontId="13" fillId="16" borderId="7" xfId="245" quotePrefix="1" applyFill="1" applyBorder="1"/>
    <xf numFmtId="0" fontId="13" fillId="16" borderId="24" xfId="245" applyFill="1" applyBorder="1"/>
    <xf numFmtId="0" fontId="13" fillId="0" borderId="3" xfId="245" applyBorder="1"/>
    <xf numFmtId="166" fontId="13" fillId="2" borderId="3" xfId="245" applyNumberFormat="1" applyFill="1" applyBorder="1"/>
    <xf numFmtId="0" fontId="13" fillId="0" borderId="8" xfId="245" applyBorder="1"/>
    <xf numFmtId="166" fontId="13" fillId="2" borderId="8" xfId="245" applyNumberFormat="1" applyFill="1" applyBorder="1"/>
    <xf numFmtId="166" fontId="13" fillId="2" borderId="2" xfId="245" applyNumberFormat="1" applyFill="1" applyBorder="1" applyAlignment="1">
      <alignment horizontal="left"/>
    </xf>
    <xf numFmtId="166" fontId="19" fillId="12" borderId="2" xfId="245" applyNumberFormat="1" applyFont="1" applyFill="1" applyBorder="1" applyAlignment="1">
      <alignment horizontal="left"/>
    </xf>
    <xf numFmtId="166" fontId="13" fillId="0" borderId="24" xfId="245" applyNumberFormat="1" applyBorder="1" applyAlignment="1">
      <alignment horizontal="left"/>
    </xf>
    <xf numFmtId="2" fontId="13" fillId="0" borderId="6" xfId="245" applyNumberFormat="1" applyBorder="1"/>
    <xf numFmtId="4" fontId="13" fillId="0" borderId="4" xfId="245" applyNumberFormat="1" applyBorder="1"/>
    <xf numFmtId="166" fontId="20" fillId="0" borderId="7" xfId="245" applyNumberFormat="1" applyFont="1" applyBorder="1" applyAlignment="1">
      <alignment horizontal="left"/>
    </xf>
    <xf numFmtId="166" fontId="20" fillId="0" borderId="4" xfId="245" applyNumberFormat="1" applyFont="1" applyBorder="1" applyAlignment="1">
      <alignment horizontal="left"/>
    </xf>
    <xf numFmtId="166" fontId="20" fillId="0" borderId="0" xfId="245" applyNumberFormat="1" applyFont="1" applyAlignment="1">
      <alignment horizontal="left"/>
    </xf>
    <xf numFmtId="2" fontId="29" fillId="3" borderId="2" xfId="245" applyNumberFormat="1" applyFont="1" applyFill="1" applyBorder="1"/>
    <xf numFmtId="166" fontId="13" fillId="2" borderId="21" xfId="245" applyNumberFormat="1" applyFill="1" applyBorder="1" applyAlignment="1">
      <alignment horizontal="left"/>
    </xf>
    <xf numFmtId="166" fontId="19" fillId="12" borderId="21" xfId="245" applyNumberFormat="1" applyFont="1" applyFill="1" applyBorder="1" applyAlignment="1">
      <alignment horizontal="left"/>
    </xf>
    <xf numFmtId="166" fontId="30" fillId="8" borderId="21" xfId="245" applyNumberFormat="1" applyFont="1" applyFill="1" applyBorder="1" applyAlignment="1">
      <alignment horizontal="left"/>
    </xf>
    <xf numFmtId="166" fontId="13" fillId="0" borderId="5" xfId="245" applyNumberFormat="1" applyBorder="1" applyAlignment="1">
      <alignment horizontal="left"/>
    </xf>
    <xf numFmtId="166" fontId="13" fillId="0" borderId="22" xfId="245" applyNumberFormat="1" applyBorder="1" applyAlignment="1">
      <alignment horizontal="left"/>
    </xf>
    <xf numFmtId="166" fontId="13" fillId="3" borderId="2" xfId="245" applyNumberFormat="1" applyFill="1" applyBorder="1" applyAlignment="1">
      <alignment horizontal="center"/>
    </xf>
    <xf numFmtId="10" fontId="21" fillId="17" borderId="2" xfId="247" applyNumberFormat="1" applyFont="1" applyFill="1" applyBorder="1" applyAlignment="1">
      <alignment horizontal="right"/>
    </xf>
    <xf numFmtId="166" fontId="19" fillId="18" borderId="21" xfId="245" applyNumberFormat="1" applyFont="1" applyFill="1" applyBorder="1"/>
    <xf numFmtId="166" fontId="19" fillId="0" borderId="3" xfId="245" applyNumberFormat="1" applyFont="1" applyBorder="1" applyAlignment="1">
      <alignment horizontal="left"/>
    </xf>
    <xf numFmtId="167" fontId="0" fillId="0" borderId="0" xfId="247" applyNumberFormat="1" applyFont="1" applyFill="1"/>
    <xf numFmtId="166" fontId="19" fillId="0" borderId="24" xfId="245" applyNumberFormat="1" applyFont="1" applyBorder="1"/>
    <xf numFmtId="166" fontId="13" fillId="2" borderId="6" xfId="245" applyNumberFormat="1" applyFill="1" applyBorder="1" applyAlignment="1">
      <alignment horizontal="left"/>
    </xf>
    <xf numFmtId="4" fontId="26" fillId="0" borderId="0" xfId="245" applyNumberFormat="1" applyFont="1"/>
    <xf numFmtId="166" fontId="26" fillId="0" borderId="0" xfId="245" applyNumberFormat="1" applyFont="1"/>
    <xf numFmtId="2" fontId="26" fillId="0" borderId="0" xfId="245" applyNumberFormat="1" applyFont="1"/>
    <xf numFmtId="171" fontId="13" fillId="0" borderId="0" xfId="245" applyNumberFormat="1"/>
    <xf numFmtId="171" fontId="13" fillId="9" borderId="4" xfId="245" applyNumberFormat="1" applyFill="1" applyBorder="1"/>
    <xf numFmtId="166" fontId="13" fillId="6" borderId="30" xfId="245" applyNumberFormat="1" applyFill="1" applyBorder="1"/>
    <xf numFmtId="166" fontId="13" fillId="6" borderId="20" xfId="245" applyNumberFormat="1" applyFill="1" applyBorder="1"/>
    <xf numFmtId="171" fontId="13" fillId="6" borderId="3" xfId="245" applyNumberFormat="1" applyFill="1" applyBorder="1"/>
    <xf numFmtId="171" fontId="13" fillId="6" borderId="4" xfId="245" applyNumberFormat="1" applyFill="1" applyBorder="1"/>
    <xf numFmtId="2" fontId="14" fillId="4" borderId="3" xfId="0" quotePrefix="1" applyNumberFormat="1" applyFont="1" applyFill="1" applyBorder="1" applyAlignment="1">
      <alignment horizontal="left"/>
    </xf>
    <xf numFmtId="1" fontId="13" fillId="13" borderId="8" xfId="0" applyNumberFormat="1" applyFont="1" applyFill="1" applyBorder="1"/>
    <xf numFmtId="166" fontId="24" fillId="6" borderId="3" xfId="0" applyNumberFormat="1" applyFont="1" applyFill="1" applyBorder="1"/>
    <xf numFmtId="166" fontId="24" fillId="6" borderId="22" xfId="0" applyNumberFormat="1" applyFont="1" applyFill="1" applyBorder="1"/>
    <xf numFmtId="166" fontId="24" fillId="6" borderId="8" xfId="0" applyNumberFormat="1" applyFont="1" applyFill="1" applyBorder="1"/>
    <xf numFmtId="166" fontId="24" fillId="6" borderId="23" xfId="0" applyNumberFormat="1" applyFont="1" applyFill="1" applyBorder="1"/>
    <xf numFmtId="171" fontId="13" fillId="6" borderId="29" xfId="245" applyNumberFormat="1" applyFill="1" applyBorder="1"/>
    <xf numFmtId="4" fontId="13" fillId="14" borderId="3" xfId="245" applyNumberFormat="1" applyFill="1" applyBorder="1" applyAlignment="1">
      <alignment horizontal="center"/>
    </xf>
    <xf numFmtId="166" fontId="13" fillId="12" borderId="2" xfId="245" applyNumberFormat="1" applyFill="1" applyBorder="1" applyAlignment="1">
      <alignment horizontal="left"/>
    </xf>
    <xf numFmtId="166" fontId="13" fillId="12" borderId="21" xfId="245" applyNumberFormat="1" applyFill="1" applyBorder="1" applyAlignment="1">
      <alignment horizontal="left"/>
    </xf>
    <xf numFmtId="166" fontId="13" fillId="19" borderId="21" xfId="245" applyNumberFormat="1" applyFill="1" applyBorder="1" applyAlignment="1">
      <alignment horizontal="left"/>
    </xf>
    <xf numFmtId="2" fontId="24" fillId="0" borderId="23" xfId="245" applyNumberFormat="1" applyFont="1" applyBorder="1"/>
    <xf numFmtId="2" fontId="24" fillId="0" borderId="8" xfId="245" applyNumberFormat="1" applyFont="1" applyBorder="1"/>
    <xf numFmtId="2" fontId="19" fillId="3" borderId="2" xfId="245" applyNumberFormat="1" applyFont="1" applyFill="1" applyBorder="1" applyAlignment="1">
      <alignment horizontal="left"/>
    </xf>
    <xf numFmtId="171" fontId="13" fillId="2" borderId="5" xfId="245" applyNumberFormat="1" applyFill="1" applyBorder="1"/>
    <xf numFmtId="171" fontId="19" fillId="0" borderId="3" xfId="245" applyNumberFormat="1" applyFont="1" applyBorder="1"/>
    <xf numFmtId="171" fontId="19" fillId="0" borderId="8" xfId="245" applyNumberFormat="1" applyFont="1" applyBorder="1"/>
    <xf numFmtId="171" fontId="13" fillId="0" borderId="6" xfId="245" applyNumberFormat="1" applyBorder="1"/>
    <xf numFmtId="171" fontId="13" fillId="0" borderId="7" xfId="245" applyNumberFormat="1" applyBorder="1"/>
    <xf numFmtId="2" fontId="19" fillId="3" borderId="25" xfId="245" applyNumberFormat="1" applyFont="1" applyFill="1" applyBorder="1" applyAlignment="1">
      <alignment horizontal="right"/>
    </xf>
    <xf numFmtId="171" fontId="13" fillId="6" borderId="21" xfId="245" applyNumberFormat="1" applyFill="1" applyBorder="1"/>
    <xf numFmtId="171" fontId="13" fillId="6" borderId="30" xfId="245" applyNumberFormat="1" applyFill="1" applyBorder="1"/>
    <xf numFmtId="171" fontId="19" fillId="0" borderId="0" xfId="245" applyNumberFormat="1" applyFont="1"/>
    <xf numFmtId="171" fontId="21" fillId="3" borderId="4" xfId="245" applyNumberFormat="1" applyFont="1" applyFill="1" applyBorder="1" applyAlignment="1">
      <alignment horizontal="center"/>
    </xf>
    <xf numFmtId="171" fontId="13" fillId="6" borderId="2" xfId="245" applyNumberFormat="1" applyFill="1" applyBorder="1" applyAlignment="1">
      <alignment horizontal="center"/>
    </xf>
    <xf numFmtId="0" fontId="7" fillId="8" borderId="3" xfId="0" applyFont="1" applyFill="1" applyBorder="1" applyAlignment="1">
      <alignment horizontal="left"/>
    </xf>
    <xf numFmtId="166" fontId="4" fillId="6" borderId="22" xfId="0" applyNumberFormat="1" applyFont="1" applyFill="1" applyBorder="1"/>
    <xf numFmtId="0" fontId="4" fillId="0" borderId="27" xfId="0" applyFont="1" applyBorder="1"/>
    <xf numFmtId="1" fontId="7" fillId="3" borderId="8" xfId="0" applyNumberFormat="1" applyFont="1" applyFill="1" applyBorder="1" applyAlignment="1">
      <alignment shrinkToFit="1"/>
    </xf>
    <xf numFmtId="2" fontId="19" fillId="0" borderId="8" xfId="245" applyNumberFormat="1" applyFont="1" applyBorder="1"/>
    <xf numFmtId="166" fontId="13" fillId="4" borderId="5" xfId="245" applyNumberFormat="1" applyFill="1" applyBorder="1"/>
    <xf numFmtId="166" fontId="13" fillId="4" borderId="6" xfId="245" applyNumberFormat="1" applyFill="1" applyBorder="1"/>
    <xf numFmtId="166" fontId="13" fillId="4" borderId="7" xfId="245" applyNumberFormat="1" applyFill="1" applyBorder="1"/>
    <xf numFmtId="166" fontId="13" fillId="6" borderId="31" xfId="245" applyNumberFormat="1" applyFill="1" applyBorder="1" applyAlignment="1">
      <alignment horizontal="left"/>
    </xf>
    <xf numFmtId="2" fontId="13" fillId="3" borderId="3" xfId="245" applyNumberFormat="1" applyFill="1" applyBorder="1"/>
    <xf numFmtId="166" fontId="13" fillId="2" borderId="5" xfId="245" applyNumberFormat="1" applyFill="1" applyBorder="1" applyAlignment="1">
      <alignment horizontal="left"/>
    </xf>
    <xf numFmtId="166" fontId="13" fillId="12" borderId="22" xfId="245" applyNumberFormat="1" applyFill="1" applyBorder="1" applyAlignment="1">
      <alignment horizontal="left"/>
    </xf>
    <xf numFmtId="166" fontId="13" fillId="2" borderId="7" xfId="245" applyNumberFormat="1" applyFill="1" applyBorder="1" applyAlignment="1">
      <alignment horizontal="left"/>
    </xf>
    <xf numFmtId="166" fontId="13" fillId="12" borderId="24" xfId="245" applyNumberFormat="1" applyFill="1" applyBorder="1" applyAlignment="1">
      <alignment horizontal="left"/>
    </xf>
    <xf numFmtId="171" fontId="13" fillId="6" borderId="5" xfId="245" applyNumberFormat="1" applyFill="1" applyBorder="1"/>
    <xf numFmtId="2" fontId="35" fillId="4" borderId="21" xfId="245" applyNumberFormat="1" applyFont="1" applyFill="1" applyBorder="1" applyAlignment="1">
      <alignment horizontal="right"/>
    </xf>
    <xf numFmtId="166" fontId="19" fillId="12" borderId="0" xfId="245" applyNumberFormat="1" applyFont="1" applyFill="1" applyAlignment="1">
      <alignment horizontal="left"/>
    </xf>
    <xf numFmtId="166" fontId="19" fillId="12" borderId="22" xfId="245" applyNumberFormat="1" applyFont="1" applyFill="1" applyBorder="1" applyAlignment="1">
      <alignment horizontal="left"/>
    </xf>
    <xf numFmtId="166" fontId="19" fillId="12" borderId="23" xfId="245" applyNumberFormat="1" applyFont="1" applyFill="1" applyBorder="1" applyAlignment="1">
      <alignment horizontal="left"/>
    </xf>
    <xf numFmtId="166" fontId="19" fillId="12" borderId="24" xfId="245" applyNumberFormat="1" applyFont="1" applyFill="1" applyBorder="1" applyAlignment="1">
      <alignment horizontal="left"/>
    </xf>
    <xf numFmtId="166" fontId="19" fillId="12" borderId="8" xfId="245" applyNumberFormat="1" applyFont="1" applyFill="1" applyBorder="1" applyAlignment="1">
      <alignment horizontal="left"/>
    </xf>
    <xf numFmtId="171" fontId="13" fillId="0" borderId="3" xfId="245" applyNumberFormat="1" applyBorder="1"/>
    <xf numFmtId="0" fontId="7" fillId="8" borderId="22" xfId="0" applyFont="1" applyFill="1" applyBorder="1"/>
    <xf numFmtId="0" fontId="7" fillId="8" borderId="23" xfId="0" applyFont="1" applyFill="1" applyBorder="1"/>
    <xf numFmtId="0" fontId="7" fillId="8" borderId="24" xfId="0" applyFont="1" applyFill="1" applyBorder="1"/>
    <xf numFmtId="170" fontId="4" fillId="2" borderId="4" xfId="1" applyNumberFormat="1" applyFont="1" applyFill="1" applyBorder="1" applyAlignment="1">
      <alignment horizontal="center"/>
    </xf>
    <xf numFmtId="166" fontId="13" fillId="2" borderId="20" xfId="245" applyNumberFormat="1" applyFill="1" applyBorder="1" applyAlignment="1">
      <alignment horizontal="left"/>
    </xf>
    <xf numFmtId="166" fontId="19" fillId="12" borderId="29" xfId="245" applyNumberFormat="1" applyFont="1" applyFill="1" applyBorder="1" applyAlignment="1">
      <alignment horizontal="left"/>
    </xf>
    <xf numFmtId="167" fontId="34" fillId="20" borderId="3" xfId="247" applyNumberFormat="1" applyFont="1" applyFill="1" applyBorder="1" applyAlignment="1">
      <alignment horizontal="center"/>
    </xf>
    <xf numFmtId="167" fontId="34" fillId="20" borderId="8" xfId="247" applyNumberFormat="1" applyFont="1" applyFill="1" applyBorder="1" applyAlignment="1">
      <alignment horizontal="center"/>
    </xf>
    <xf numFmtId="167" fontId="34" fillId="20" borderId="4" xfId="247" applyNumberFormat="1" applyFont="1" applyFill="1" applyBorder="1" applyAlignment="1">
      <alignment horizontal="center"/>
    </xf>
    <xf numFmtId="166" fontId="13" fillId="20" borderId="2" xfId="245" applyNumberFormat="1" applyFill="1" applyBorder="1" applyAlignment="1">
      <alignment horizontal="left"/>
    </xf>
    <xf numFmtId="166" fontId="13" fillId="20" borderId="21" xfId="245" applyNumberFormat="1" applyFill="1" applyBorder="1" applyAlignment="1">
      <alignment horizontal="left"/>
    </xf>
    <xf numFmtId="171" fontId="13" fillId="20" borderId="5" xfId="245" applyNumberFormat="1" applyFill="1" applyBorder="1"/>
    <xf numFmtId="171" fontId="13" fillId="20" borderId="6" xfId="245" applyNumberFormat="1" applyFill="1" applyBorder="1"/>
    <xf numFmtId="171" fontId="13" fillId="6" borderId="25" xfId="245" applyNumberFormat="1" applyFill="1" applyBorder="1"/>
    <xf numFmtId="171" fontId="13" fillId="2" borderId="32" xfId="245" applyNumberFormat="1" applyFill="1" applyBorder="1"/>
    <xf numFmtId="171" fontId="13" fillId="6" borderId="32" xfId="245" applyNumberFormat="1" applyFill="1" applyBorder="1"/>
    <xf numFmtId="166" fontId="24" fillId="6" borderId="7" xfId="245" applyNumberFormat="1" applyFont="1" applyFill="1" applyBorder="1"/>
    <xf numFmtId="166" fontId="34" fillId="5" borderId="4" xfId="245" applyNumberFormat="1" applyFont="1" applyFill="1" applyBorder="1"/>
    <xf numFmtId="166" fontId="24" fillId="4" borderId="32" xfId="245" applyNumberFormat="1" applyFont="1" applyFill="1" applyBorder="1" applyAlignment="1">
      <alignment horizontal="left"/>
    </xf>
    <xf numFmtId="166" fontId="24" fillId="6" borderId="25" xfId="245" applyNumberFormat="1" applyFont="1" applyFill="1" applyBorder="1" applyAlignment="1">
      <alignment horizontal="left"/>
    </xf>
    <xf numFmtId="166" fontId="34" fillId="5" borderId="25" xfId="245" applyNumberFormat="1" applyFont="1" applyFill="1" applyBorder="1" applyAlignment="1">
      <alignment horizontal="left"/>
    </xf>
    <xf numFmtId="166" fontId="13" fillId="6" borderId="26" xfId="245" applyNumberFormat="1" applyFill="1" applyBorder="1" applyAlignment="1">
      <alignment horizontal="left"/>
    </xf>
    <xf numFmtId="166" fontId="13" fillId="6" borderId="5" xfId="245" applyNumberFormat="1" applyFill="1" applyBorder="1" applyAlignment="1">
      <alignment horizontal="left"/>
    </xf>
    <xf numFmtId="166" fontId="13" fillId="6" borderId="6" xfId="245" applyNumberFormat="1" applyFill="1" applyBorder="1" applyAlignment="1">
      <alignment horizontal="left"/>
    </xf>
    <xf numFmtId="166" fontId="19" fillId="5" borderId="33" xfId="245" applyNumberFormat="1" applyFont="1" applyFill="1" applyBorder="1"/>
    <xf numFmtId="4" fontId="21" fillId="0" borderId="27" xfId="245" applyNumberFormat="1" applyFont="1" applyBorder="1"/>
    <xf numFmtId="171" fontId="19" fillId="5" borderId="34" xfId="245" applyNumberFormat="1" applyFont="1" applyFill="1" applyBorder="1"/>
    <xf numFmtId="4" fontId="19" fillId="0" borderId="8" xfId="245" applyNumberFormat="1" applyFont="1" applyBorder="1"/>
    <xf numFmtId="166" fontId="13" fillId="0" borderId="27" xfId="245" applyNumberFormat="1" applyBorder="1"/>
    <xf numFmtId="166" fontId="13" fillId="0" borderId="27" xfId="245" applyNumberFormat="1" applyBorder="1" applyAlignment="1">
      <alignment horizontal="left"/>
    </xf>
    <xf numFmtId="166" fontId="13" fillId="4" borderId="4" xfId="245" applyNumberFormat="1" applyFill="1" applyBorder="1" applyAlignment="1">
      <alignment horizontal="left"/>
    </xf>
    <xf numFmtId="171" fontId="13" fillId="2" borderId="4" xfId="245" applyNumberFormat="1" applyFill="1" applyBorder="1"/>
    <xf numFmtId="171" fontId="13" fillId="4" borderId="4" xfId="245" applyNumberFormat="1" applyFill="1" applyBorder="1"/>
    <xf numFmtId="0" fontId="19" fillId="8" borderId="2" xfId="245" quotePrefix="1" applyFont="1" applyFill="1" applyBorder="1" applyAlignment="1">
      <alignment horizontal="left"/>
    </xf>
    <xf numFmtId="0" fontId="19" fillId="8" borderId="20" xfId="245" quotePrefix="1" applyFont="1" applyFill="1" applyBorder="1" applyAlignment="1">
      <alignment horizontal="left"/>
    </xf>
    <xf numFmtId="49" fontId="19" fillId="6" borderId="1" xfId="245" quotePrefix="1" applyNumberFormat="1" applyFont="1" applyFill="1" applyBorder="1" applyAlignment="1">
      <alignment horizontal="left" vertical="center"/>
    </xf>
    <xf numFmtId="0" fontId="19" fillId="2" borderId="2" xfId="245" quotePrefix="1" applyFont="1" applyFill="1" applyBorder="1" applyAlignment="1">
      <alignment horizontal="center" vertical="center"/>
    </xf>
    <xf numFmtId="49" fontId="19" fillId="6" borderId="2" xfId="245" quotePrefix="1" applyNumberFormat="1" applyFont="1" applyFill="1" applyBorder="1" applyAlignment="1">
      <alignment horizontal="left" vertical="center"/>
    </xf>
    <xf numFmtId="0" fontId="19" fillId="3" borderId="2" xfId="245" applyFont="1" applyFill="1" applyBorder="1" applyAlignment="1">
      <alignment horizontal="left"/>
    </xf>
    <xf numFmtId="0" fontId="19" fillId="3" borderId="2" xfId="245" applyFont="1" applyFill="1" applyBorder="1" applyAlignment="1">
      <alignment horizontal="center"/>
    </xf>
    <xf numFmtId="2" fontId="35" fillId="21" borderId="8" xfId="245" applyNumberFormat="1" applyFont="1" applyFill="1" applyBorder="1"/>
    <xf numFmtId="171" fontId="13" fillId="22" borderId="8" xfId="0" applyNumberFormat="1" applyFont="1" applyFill="1" applyBorder="1"/>
    <xf numFmtId="171" fontId="19" fillId="23" borderId="8" xfId="0" applyNumberFormat="1" applyFont="1" applyFill="1" applyBorder="1"/>
    <xf numFmtId="166" fontId="13" fillId="12" borderId="8" xfId="245" applyNumberFormat="1" applyFill="1" applyBorder="1"/>
    <xf numFmtId="1" fontId="13" fillId="6" borderId="8" xfId="245" applyNumberFormat="1" applyFill="1" applyBorder="1" applyAlignment="1">
      <alignment horizontal="center"/>
    </xf>
    <xf numFmtId="0" fontId="13" fillId="0" borderId="2" xfId="245" applyBorder="1"/>
    <xf numFmtId="171" fontId="19" fillId="5" borderId="8" xfId="245" applyNumberFormat="1" applyFont="1" applyFill="1" applyBorder="1"/>
    <xf numFmtId="2" fontId="19" fillId="0" borderId="4" xfId="245" applyNumberFormat="1" applyFont="1" applyBorder="1"/>
    <xf numFmtId="171" fontId="13" fillId="0" borderId="27" xfId="245" applyNumberFormat="1" applyBorder="1"/>
    <xf numFmtId="171" fontId="19" fillId="0" borderId="4" xfId="245" applyNumberFormat="1" applyFont="1" applyBorder="1"/>
    <xf numFmtId="166" fontId="19" fillId="0" borderId="4" xfId="245" applyNumberFormat="1" applyFont="1" applyBorder="1"/>
    <xf numFmtId="1" fontId="13" fillId="0" borderId="4" xfId="245" applyNumberFormat="1" applyBorder="1" applyAlignment="1">
      <alignment horizontal="center"/>
    </xf>
    <xf numFmtId="0" fontId="19" fillId="0" borderId="0" xfId="245" applyFont="1"/>
    <xf numFmtId="0" fontId="19" fillId="0" borderId="4" xfId="245" applyFont="1" applyBorder="1"/>
    <xf numFmtId="0" fontId="19" fillId="3" borderId="2" xfId="245" applyFont="1" applyFill="1" applyBorder="1"/>
    <xf numFmtId="171" fontId="13" fillId="6" borderId="2" xfId="245" applyNumberFormat="1" applyFill="1" applyBorder="1"/>
    <xf numFmtId="171" fontId="19" fillId="5" borderId="2" xfId="245" applyNumberFormat="1" applyFont="1" applyFill="1" applyBorder="1"/>
    <xf numFmtId="166" fontId="13" fillId="12" borderId="2" xfId="245" applyNumberFormat="1" applyFill="1" applyBorder="1"/>
    <xf numFmtId="3" fontId="13" fillId="6" borderId="2" xfId="245" applyNumberFormat="1" applyFill="1" applyBorder="1" applyAlignment="1">
      <alignment horizontal="center"/>
    </xf>
    <xf numFmtId="166" fontId="13" fillId="5" borderId="2" xfId="245" applyNumberFormat="1" applyFill="1" applyBorder="1"/>
    <xf numFmtId="166" fontId="13" fillId="6" borderId="2" xfId="245" applyNumberFormat="1" applyFill="1" applyBorder="1"/>
    <xf numFmtId="10" fontId="0" fillId="0" borderId="0" xfId="247" applyNumberFormat="1" applyFont="1"/>
    <xf numFmtId="166" fontId="36" fillId="21" borderId="1" xfId="245" applyNumberFormat="1" applyFont="1" applyFill="1" applyBorder="1" applyAlignment="1">
      <alignment horizontal="right"/>
    </xf>
    <xf numFmtId="0" fontId="13" fillId="0" borderId="35" xfId="245" applyBorder="1"/>
    <xf numFmtId="166" fontId="36" fillId="21" borderId="36" xfId="245" applyNumberFormat="1" applyFont="1" applyFill="1" applyBorder="1" applyAlignment="1">
      <alignment horizontal="right"/>
    </xf>
    <xf numFmtId="0" fontId="13" fillId="0" borderId="10" xfId="245" applyBorder="1"/>
    <xf numFmtId="0" fontId="13" fillId="0" borderId="11" xfId="245" applyBorder="1"/>
    <xf numFmtId="166" fontId="13" fillId="2" borderId="37" xfId="245" applyNumberFormat="1" applyFill="1" applyBorder="1"/>
    <xf numFmtId="171" fontId="19" fillId="18" borderId="29" xfId="245" applyNumberFormat="1" applyFont="1" applyFill="1" applyBorder="1"/>
    <xf numFmtId="167" fontId="13" fillId="6" borderId="2" xfId="245" applyNumberFormat="1" applyFill="1" applyBorder="1" applyAlignment="1">
      <alignment horizontal="center"/>
    </xf>
    <xf numFmtId="0" fontId="13" fillId="0" borderId="13" xfId="245" applyBorder="1"/>
    <xf numFmtId="0" fontId="37" fillId="0" borderId="12" xfId="245" applyFont="1" applyBorder="1" applyAlignment="1">
      <alignment horizontal="center"/>
    </xf>
    <xf numFmtId="0" fontId="13" fillId="0" borderId="12" xfId="245" applyBorder="1"/>
    <xf numFmtId="166" fontId="19" fillId="21" borderId="29" xfId="245" applyNumberFormat="1" applyFont="1" applyFill="1" applyBorder="1"/>
    <xf numFmtId="0" fontId="19" fillId="3" borderId="38" xfId="245" applyFont="1" applyFill="1" applyBorder="1" applyAlignment="1">
      <alignment horizontal="center"/>
    </xf>
    <xf numFmtId="171" fontId="13" fillId="6" borderId="39" xfId="245" applyNumberFormat="1" applyFill="1" applyBorder="1"/>
    <xf numFmtId="166" fontId="19" fillId="5" borderId="29" xfId="245" applyNumberFormat="1" applyFont="1" applyFill="1" applyBorder="1"/>
    <xf numFmtId="166" fontId="13" fillId="12" borderId="38" xfId="245" applyNumberFormat="1" applyFill="1" applyBorder="1"/>
    <xf numFmtId="167" fontId="0" fillId="0" borderId="0" xfId="247" applyNumberFormat="1" applyFont="1"/>
    <xf numFmtId="0" fontId="13" fillId="0" borderId="14" xfId="245" applyBorder="1"/>
    <xf numFmtId="10" fontId="13" fillId="6" borderId="40" xfId="247" applyNumberFormat="1" applyFont="1" applyFill="1" applyBorder="1"/>
    <xf numFmtId="0" fontId="13" fillId="0" borderId="15" xfId="245" applyBorder="1"/>
    <xf numFmtId="167" fontId="13" fillId="12" borderId="41" xfId="247" applyNumberFormat="1" applyFont="1" applyFill="1" applyBorder="1" applyAlignment="1">
      <alignment horizontal="right"/>
    </xf>
    <xf numFmtId="166" fontId="19" fillId="21" borderId="2" xfId="245" applyNumberFormat="1" applyFont="1" applyFill="1" applyBorder="1" applyAlignment="1">
      <alignment horizontal="right"/>
    </xf>
    <xf numFmtId="0" fontId="13" fillId="5" borderId="8" xfId="245" applyFill="1" applyBorder="1"/>
    <xf numFmtId="2" fontId="40" fillId="3" borderId="2" xfId="245" applyNumberFormat="1" applyFont="1" applyFill="1" applyBorder="1" applyAlignment="1">
      <alignment horizontal="left"/>
    </xf>
    <xf numFmtId="2" fontId="19" fillId="24" borderId="20" xfId="245" applyNumberFormat="1" applyFont="1" applyFill="1" applyBorder="1" applyAlignment="1">
      <alignment horizontal="center" wrapText="1"/>
    </xf>
    <xf numFmtId="2" fontId="19" fillId="24" borderId="42" xfId="245" applyNumberFormat="1" applyFont="1" applyFill="1" applyBorder="1" applyAlignment="1">
      <alignment horizontal="center" wrapText="1"/>
    </xf>
    <xf numFmtId="2" fontId="19" fillId="24" borderId="29" xfId="245" applyNumberFormat="1" applyFont="1" applyFill="1" applyBorder="1" applyAlignment="1">
      <alignment horizontal="center" wrapText="1"/>
    </xf>
  </cellXfs>
  <cellStyles count="752">
    <cellStyle name="Comma 2" xfId="246" xr:uid="{00000000-0005-0000-0000-000000000000}"/>
    <cellStyle name="Currency 2" xfId="579" xr:uid="{00000000-0005-0000-0000-000001000000}"/>
    <cellStyle name="Gevolgde hyperlink" xfId="482" builtinId="9" hidden="1"/>
    <cellStyle name="Gevolgde hyperlink" xfId="290" builtinId="9" hidden="1"/>
    <cellStyle name="Gevolgde hyperlink" xfId="336" builtinId="9" hidden="1"/>
    <cellStyle name="Gevolgde hyperlink" xfId="396" builtinId="9" hidden="1"/>
    <cellStyle name="Gevolgde hyperlink" xfId="204" builtinId="9" hidden="1"/>
    <cellStyle name="Gevolgde hyperlink" xfId="502" builtinId="9" hidden="1"/>
    <cellStyle name="Gevolgde hyperlink" xfId="284" builtinId="9" hidden="1"/>
    <cellStyle name="Gevolgde hyperlink" xfId="605" builtinId="9" hidden="1"/>
    <cellStyle name="Gevolgde hyperlink" xfId="52" builtinId="9" hidden="1"/>
    <cellStyle name="Gevolgde hyperlink" xfId="725" builtinId="9" hidden="1"/>
    <cellStyle name="Gevolgde hyperlink" xfId="512" builtinId="9" hidden="1"/>
    <cellStyle name="Gevolgde hyperlink" xfId="619" builtinId="9" hidden="1"/>
    <cellStyle name="Gevolgde hyperlink" xfId="152" builtinId="9" hidden="1"/>
    <cellStyle name="Gevolgde hyperlink" xfId="382" builtinId="9" hidden="1"/>
    <cellStyle name="Gevolgde hyperlink" xfId="260" builtinId="9" hidden="1"/>
    <cellStyle name="Gevolgde hyperlink" xfId="342" builtinId="9" hidden="1"/>
    <cellStyle name="Gevolgde hyperlink" xfId="36" builtinId="9" hidden="1"/>
    <cellStyle name="Gevolgde hyperlink" xfId="641" builtinId="9" hidden="1"/>
    <cellStyle name="Gevolgde hyperlink" xfId="673" builtinId="9" hidden="1"/>
    <cellStyle name="Gevolgde hyperlink" xfId="330" builtinId="9" hidden="1"/>
    <cellStyle name="Gevolgde hyperlink" xfId="234" builtinId="9" hidden="1"/>
    <cellStyle name="Gevolgde hyperlink" xfId="593" builtinId="9" hidden="1"/>
    <cellStyle name="Gevolgde hyperlink" xfId="687" builtinId="9" hidden="1"/>
    <cellStyle name="Gevolgde hyperlink" xfId="498" builtinId="9" hidden="1"/>
    <cellStyle name="Gevolgde hyperlink" xfId="649" builtinId="9" hidden="1"/>
    <cellStyle name="Gevolgde hyperlink" xfId="174" builtinId="9" hidden="1"/>
    <cellStyle name="Gevolgde hyperlink" xfId="192" builtinId="9" hidden="1"/>
    <cellStyle name="Gevolgde hyperlink" xfId="228" builtinId="9" hidden="1"/>
    <cellStyle name="Gevolgde hyperlink" xfId="372" builtinId="9" hidden="1"/>
    <cellStyle name="Gevolgde hyperlink" xfId="655" builtinId="9" hidden="1"/>
    <cellStyle name="Gevolgde hyperlink" xfId="266" builtinId="9" hidden="1"/>
    <cellStyle name="Gevolgde hyperlink" xfId="506" builtinId="9" hidden="1"/>
    <cellStyle name="Gevolgde hyperlink" xfId="386" builtinId="9" hidden="1"/>
    <cellStyle name="Gevolgde hyperlink" xfId="613" builtinId="9" hidden="1"/>
    <cellStyle name="Gevolgde hyperlink" xfId="44" builtinId="9" hidden="1"/>
    <cellStyle name="Gevolgde hyperlink" xfId="705" builtinId="9" hidden="1"/>
    <cellStyle name="Gevolgde hyperlink" xfId="110" builtinId="9" hidden="1"/>
    <cellStyle name="Gevolgde hyperlink" xfId="615" builtinId="9" hidden="1"/>
    <cellStyle name="Gevolgde hyperlink" xfId="3" builtinId="9" hidden="1"/>
    <cellStyle name="Gevolgde hyperlink" xfId="508" builtinId="9" hidden="1"/>
    <cellStyle name="Gevolgde hyperlink" xfId="416" builtinId="9" hidden="1"/>
    <cellStyle name="Gevolgde hyperlink" xfId="402" builtinId="9" hidden="1"/>
    <cellStyle name="Gevolgde hyperlink" xfId="370" builtinId="9" hidden="1"/>
    <cellStyle name="Gevolgde hyperlink" xfId="665" builtinId="9" hidden="1"/>
    <cellStyle name="Gevolgde hyperlink" xfId="583" builtinId="9" hidden="1"/>
    <cellStyle name="Gevolgde hyperlink" xfId="196" builtinId="9" hidden="1"/>
    <cellStyle name="Gevolgde hyperlink" xfId="376" builtinId="9" hidden="1"/>
    <cellStyle name="Gevolgde hyperlink" xfId="94" builtinId="9" hidden="1"/>
    <cellStyle name="Gevolgde hyperlink" xfId="737" builtinId="9" hidden="1"/>
    <cellStyle name="Gevolgde hyperlink" xfId="24" builtinId="9" hidden="1"/>
    <cellStyle name="Gevolgde hyperlink" xfId="645" builtinId="9" hidden="1"/>
    <cellStyle name="Gevolgde hyperlink" xfId="446" builtinId="9" hidden="1"/>
    <cellStyle name="Gevolgde hyperlink" xfId="538" builtinId="9" hidden="1"/>
    <cellStyle name="Gevolgde hyperlink" xfId="232" builtinId="9" hidden="1"/>
    <cellStyle name="Gevolgde hyperlink" xfId="591" builtinId="9" hidden="1"/>
    <cellStyle name="Gevolgde hyperlink" xfId="340" builtinId="9" hidden="1"/>
    <cellStyle name="Gevolgde hyperlink" xfId="262" builtinId="9" hidden="1"/>
    <cellStyle name="Gevolgde hyperlink" xfId="643" builtinId="9" hidden="1"/>
    <cellStyle name="Gevolgde hyperlink" xfId="122" builtinId="9" hidden="1"/>
    <cellStyle name="Gevolgde hyperlink" xfId="617" builtinId="9" hidden="1"/>
    <cellStyle name="Gevolgde hyperlink" xfId="40" builtinId="9" hidden="1"/>
    <cellStyle name="Gevolgde hyperlink" xfId="723" builtinId="9" hidden="1"/>
    <cellStyle name="Gevolgde hyperlink" xfId="222" builtinId="9" hidden="1"/>
    <cellStyle name="Gevolgde hyperlink" xfId="102" builtinId="9" hidden="1"/>
    <cellStyle name="Gevolgde hyperlink" xfId="54" builtinId="9" hidden="1"/>
    <cellStyle name="Gevolgde hyperlink" xfId="188" builtinId="9" hidden="1"/>
    <cellStyle name="Gevolgde hyperlink" xfId="16" builtinId="9" hidden="1"/>
    <cellStyle name="Gevolgde hyperlink" xfId="124" builtinId="9" hidden="1"/>
    <cellStyle name="Gevolgde hyperlink" xfId="328" builtinId="9" hidden="1"/>
    <cellStyle name="Gevolgde hyperlink" xfId="693" builtinId="9" hidden="1"/>
    <cellStyle name="Gevolgde hyperlink" xfId="118" builtinId="9" hidden="1"/>
    <cellStyle name="Gevolgde hyperlink" xfId="568" builtinId="9" hidden="1"/>
    <cellStyle name="Gevolgde hyperlink" xfId="599" builtinId="9" hidden="1"/>
    <cellStyle name="Gevolgde hyperlink" xfId="286" builtinId="9" hidden="1"/>
    <cellStyle name="Gevolgde hyperlink" xfId="581" builtinId="9" hidden="1"/>
    <cellStyle name="Gevolgde hyperlink" xfId="50" builtinId="9" hidden="1"/>
    <cellStyle name="Gevolgde hyperlink" xfId="30" builtinId="9" hidden="1"/>
    <cellStyle name="Gevolgde hyperlink" xfId="474" builtinId="9" hidden="1"/>
    <cellStyle name="Gevolgde hyperlink" xfId="534" builtinId="9" hidden="1"/>
    <cellStyle name="Gevolgde hyperlink" xfId="172" builtinId="9" hidden="1"/>
    <cellStyle name="Gevolgde hyperlink" xfId="428" builtinId="9" hidden="1"/>
    <cellStyle name="Gevolgde hyperlink" xfId="360" builtinId="9" hidden="1"/>
    <cellStyle name="Gevolgde hyperlink" xfId="548" builtinId="9" hidden="1"/>
    <cellStyle name="Gevolgde hyperlink" xfId="420" builtinId="9" hidden="1"/>
    <cellStyle name="Gevolgde hyperlink" xfId="448" builtinId="9" hidden="1"/>
    <cellStyle name="Gevolgde hyperlink" xfId="556" builtinId="9" hidden="1"/>
    <cellStyle name="Gevolgde hyperlink" xfId="42" builtinId="9" hidden="1"/>
    <cellStyle name="Gevolgde hyperlink" xfId="663" builtinId="9" hidden="1"/>
    <cellStyle name="Gevolgde hyperlink" xfId="74" builtinId="9" hidden="1"/>
    <cellStyle name="Gevolgde hyperlink" xfId="96" builtinId="9" hidden="1"/>
    <cellStyle name="Gevolgde hyperlink" xfId="48" builtinId="9" hidden="1"/>
    <cellStyle name="Gevolgde hyperlink" xfId="564" builtinId="9" hidden="1"/>
    <cellStyle name="Gevolgde hyperlink" xfId="560" builtinId="9" hidden="1"/>
    <cellStyle name="Gevolgde hyperlink" xfId="458" builtinId="9" hidden="1"/>
    <cellStyle name="Gevolgde hyperlink" xfId="695" builtinId="9" hidden="1"/>
    <cellStyle name="Gevolgde hyperlink" xfId="699" builtinId="9" hidden="1"/>
    <cellStyle name="Gevolgde hyperlink" xfId="438" builtinId="9" hidden="1"/>
    <cellStyle name="Gevolgde hyperlink" xfId="180" builtinId="9" hidden="1"/>
    <cellStyle name="Gevolgde hyperlink" xfId="526" builtinId="9" hidden="1"/>
    <cellStyle name="Gevolgde hyperlink" xfId="206" builtinId="9" hidden="1"/>
    <cellStyle name="Gevolgde hyperlink" xfId="697" builtinId="9" hidden="1"/>
    <cellStyle name="Gevolgde hyperlink" xfId="32" builtinId="9" hidden="1"/>
    <cellStyle name="Gevolgde hyperlink" xfId="701" builtinId="9" hidden="1"/>
    <cellStyle name="Gevolgde hyperlink" xfId="272" builtinId="9" hidden="1"/>
    <cellStyle name="Gevolgde hyperlink" xfId="595" builtinId="9" hidden="1"/>
    <cellStyle name="Gevolgde hyperlink" xfId="176" builtinId="9" hidden="1"/>
    <cellStyle name="Gevolgde hyperlink" xfId="488" builtinId="9" hidden="1"/>
    <cellStyle name="Gevolgde hyperlink" xfId="82" builtinId="9" hidden="1"/>
    <cellStyle name="Gevolgde hyperlink" xfId="578" builtinId="9" hidden="1"/>
    <cellStyle name="Gevolgde hyperlink" xfId="390" builtinId="9" hidden="1"/>
    <cellStyle name="Gevolgde hyperlink" xfId="210" builtinId="9" hidden="1"/>
    <cellStyle name="Gevolgde hyperlink" xfId="639" builtinId="9" hidden="1"/>
    <cellStyle name="Gevolgde hyperlink" xfId="104" builtinId="9" hidden="1"/>
    <cellStyle name="Gevolgde hyperlink" xfId="667" builtinId="9" hidden="1"/>
    <cellStyle name="Gevolgde hyperlink" xfId="542" builtinId="9" hidden="1"/>
    <cellStyle name="Gevolgde hyperlink" xfId="731" builtinId="9" hidden="1"/>
    <cellStyle name="Gevolgde hyperlink" xfId="46" builtinId="9" hidden="1"/>
    <cellStyle name="Gevolgde hyperlink" xfId="140" builtinId="9" hidden="1"/>
    <cellStyle name="Gevolgde hyperlink" xfId="108" builtinId="9" hidden="1"/>
    <cellStyle name="Gevolgde hyperlink" xfId="240" builtinId="9" hidden="1"/>
    <cellStyle name="Gevolgde hyperlink" xfId="587" builtinId="9" hidden="1"/>
    <cellStyle name="Gevolgde hyperlink" xfId="492" builtinId="9" hidden="1"/>
    <cellStyle name="Gevolgde hyperlink" xfId="366" builtinId="9" hidden="1"/>
    <cellStyle name="Gevolgde hyperlink" xfId="719" builtinId="9" hidden="1"/>
    <cellStyle name="Gevolgde hyperlink" xfId="749" builtinId="9" hidden="1"/>
    <cellStyle name="Gevolgde hyperlink" xfId="312" builtinId="9" hidden="1"/>
    <cellStyle name="Gevolgde hyperlink" xfId="637" builtinId="9" hidden="1"/>
    <cellStyle name="Gevolgde hyperlink" xfId="60" builtinId="9" hidden="1"/>
    <cellStyle name="Gevolgde hyperlink" xfId="743" builtinId="9" hidden="1"/>
    <cellStyle name="Gevolgde hyperlink" xfId="98" builtinId="9" hidden="1"/>
    <cellStyle name="Gevolgde hyperlink" xfId="625" builtinId="9" hidden="1"/>
    <cellStyle name="Gevolgde hyperlink" xfId="116" builtinId="9" hidden="1"/>
    <cellStyle name="Gevolgde hyperlink" xfId="540" builtinId="9" hidden="1"/>
    <cellStyle name="Gevolgde hyperlink" xfId="514" builtinId="9" hidden="1"/>
    <cellStyle name="Gevolgde hyperlink" xfId="378" builtinId="9" hidden="1"/>
    <cellStyle name="Gevolgde hyperlink" xfId="394" builtinId="9" hidden="1"/>
    <cellStyle name="Gevolgde hyperlink" xfId="528" builtinId="9" hidden="1"/>
    <cellStyle name="Gevolgde hyperlink" xfId="500" builtinId="9" hidden="1"/>
    <cellStyle name="Gevolgde hyperlink" xfId="100" builtinId="9" hidden="1"/>
    <cellStyle name="Gevolgde hyperlink" xfId="224" builtinId="9" hidden="1"/>
    <cellStyle name="Gevolgde hyperlink" xfId="106" builtinId="9" hidden="1"/>
    <cellStyle name="Gevolgde hyperlink" xfId="727" builtinId="9" hidden="1"/>
    <cellStyle name="Gevolgde hyperlink" xfId="28" builtinId="9" hidden="1"/>
    <cellStyle name="Gevolgde hyperlink" xfId="621" builtinId="9" hidden="1"/>
    <cellStyle name="Gevolgde hyperlink" xfId="400" builtinId="9" hidden="1"/>
    <cellStyle name="Gevolgde hyperlink" xfId="184" builtinId="9" hidden="1"/>
    <cellStyle name="Gevolgde hyperlink" xfId="34" builtinId="9" hidden="1"/>
    <cellStyle name="Gevolgde hyperlink" xfId="344" builtinId="9" hidden="1"/>
    <cellStyle name="Gevolgde hyperlink" xfId="364" builtinId="9" hidden="1"/>
    <cellStyle name="Gevolgde hyperlink" xfId="236" builtinId="9" hidden="1"/>
    <cellStyle name="Gevolgde hyperlink" xfId="470" builtinId="9" hidden="1"/>
    <cellStyle name="Gevolgde hyperlink" xfId="166" builtinId="9" hidden="1"/>
    <cellStyle name="Gevolgde hyperlink" xfId="156" builtinId="9" hidden="1"/>
    <cellStyle name="Gevolgde hyperlink" xfId="56" builtinId="9" hidden="1"/>
    <cellStyle name="Gevolgde hyperlink" xfId="747" builtinId="9" hidden="1"/>
    <cellStyle name="Gevolgde hyperlink" xfId="480" builtinId="9" hidden="1"/>
    <cellStyle name="Gevolgde hyperlink" xfId="86" builtinId="9" hidden="1"/>
    <cellStyle name="Gevolgde hyperlink" xfId="256" builtinId="9" hidden="1"/>
    <cellStyle name="Gevolgde hyperlink" xfId="250" builtinId="9" hidden="1"/>
    <cellStyle name="Gevolgde hyperlink" xfId="150" builtinId="9" hidden="1"/>
    <cellStyle name="Gevolgde hyperlink" xfId="90" builtinId="9" hidden="1"/>
    <cellStyle name="Gevolgde hyperlink" xfId="476" builtinId="9" hidden="1"/>
    <cellStyle name="Gevolgde hyperlink" xfId="432" builtinId="9" hidden="1"/>
    <cellStyle name="Gevolgde hyperlink" xfId="154" builtinId="9" hidden="1"/>
    <cellStyle name="Gevolgde hyperlink" xfId="120" builtinId="9" hidden="1"/>
    <cellStyle name="Gevolgde hyperlink" xfId="348" builtinId="9" hidden="1"/>
    <cellStyle name="Gevolgde hyperlink" xfId="268" builtinId="9" hidden="1"/>
    <cellStyle name="Gevolgde hyperlink" xfId="689" builtinId="9" hidden="1"/>
    <cellStyle name="Gevolgde hyperlink" xfId="562" builtinId="9" hidden="1"/>
    <cellStyle name="Gevolgde hyperlink" xfId="58" builtinId="9" hidden="1"/>
    <cellStyle name="Gevolgde hyperlink" xfId="456" builtinId="9" hidden="1"/>
    <cellStyle name="Gevolgde hyperlink" xfId="504" builtinId="9" hidden="1"/>
    <cellStyle name="Gevolgde hyperlink" xfId="629" builtinId="9" hidden="1"/>
    <cellStyle name="Gevolgde hyperlink" xfId="334" builtinId="9" hidden="1"/>
    <cellStyle name="Gevolgde hyperlink" xfId="609" builtinId="9" hidden="1"/>
    <cellStyle name="Gevolgde hyperlink" xfId="208" builtinId="9" hidden="1"/>
    <cellStyle name="Gevolgde hyperlink" xfId="374" builtinId="9" hidden="1"/>
    <cellStyle name="Gevolgde hyperlink" xfId="669" builtinId="9" hidden="1"/>
    <cellStyle name="Gevolgde hyperlink" xfId="651" builtinId="9" hidden="1"/>
    <cellStyle name="Gevolgde hyperlink" xfId="244" builtinId="9" hidden="1"/>
    <cellStyle name="Gevolgde hyperlink" xfId="729" builtinId="9" hidden="1"/>
    <cellStyle name="Gevolgde hyperlink" xfId="190" builtinId="9" hidden="1"/>
    <cellStyle name="Gevolgde hyperlink" xfId="450" builtinId="9" hidden="1"/>
    <cellStyle name="Gevolgde hyperlink" xfId="146" builtinId="9" hidden="1"/>
    <cellStyle name="Gevolgde hyperlink" xfId="647" builtinId="9" hidden="1"/>
    <cellStyle name="Gevolgde hyperlink" xfId="522" builtinId="9" hidden="1"/>
    <cellStyle name="Gevolgde hyperlink" xfId="434" builtinId="9" hidden="1"/>
    <cellStyle name="Gevolgde hyperlink" xfId="338" builtinId="9" hidden="1"/>
    <cellStyle name="Gevolgde hyperlink" xfId="368" builtinId="9" hidden="1"/>
    <cellStyle name="Gevolgde hyperlink" xfId="444" builtinId="9" hidden="1"/>
    <cellStyle name="Gevolgde hyperlink" xfId="68" builtinId="9" hidden="1"/>
    <cellStyle name="Gevolgde hyperlink" xfId="550" builtinId="9" hidden="1"/>
    <cellStyle name="Gevolgde hyperlink" xfId="170" builtinId="9" hidden="1"/>
    <cellStyle name="Gevolgde hyperlink" xfId="751" builtinId="9" hidden="1"/>
    <cellStyle name="Gevolgde hyperlink" xfId="9" builtinId="9" hidden="1"/>
    <cellStyle name="Gevolgde hyperlink" xfId="310" builtinId="9" hidden="1"/>
    <cellStyle name="Gevolgde hyperlink" xfId="677" builtinId="9" hidden="1"/>
    <cellStyle name="Gevolgde hyperlink" xfId="566" builtinId="9" hidden="1"/>
    <cellStyle name="Gevolgde hyperlink" xfId="200" builtinId="9" hidden="1"/>
    <cellStyle name="Gevolgde hyperlink" xfId="574" builtinId="9" hidden="1"/>
    <cellStyle name="Gevolgde hyperlink" xfId="308" builtinId="9" hidden="1"/>
    <cellStyle name="Gevolgde hyperlink" xfId="294" builtinId="9" hidden="1"/>
    <cellStyle name="Gevolgde hyperlink" xfId="160" builtinId="9" hidden="1"/>
    <cellStyle name="Gevolgde hyperlink" xfId="130" builtinId="9" hidden="1"/>
    <cellStyle name="Gevolgde hyperlink" xfId="585" builtinId="9" hidden="1"/>
    <cellStyle name="Gevolgde hyperlink" xfId="80" builtinId="9" hidden="1"/>
    <cellStyle name="Gevolgde hyperlink" xfId="691" builtinId="9" hidden="1"/>
    <cellStyle name="Gevolgde hyperlink" xfId="214" builtinId="9" hidden="1"/>
    <cellStyle name="Gevolgde hyperlink" xfId="292" builtinId="9" hidden="1"/>
    <cellStyle name="Gevolgde hyperlink" xfId="226" builtinId="9" hidden="1"/>
    <cellStyle name="Gevolgde hyperlink" xfId="601" builtinId="9" hidden="1"/>
    <cellStyle name="Gevolgde hyperlink" xfId="142" builtinId="9" hidden="1"/>
    <cellStyle name="Gevolgde hyperlink" xfId="430" builtinId="9" hidden="1"/>
    <cellStyle name="Gevolgde hyperlink" xfId="278" builtinId="9" hidden="1"/>
    <cellStyle name="Gevolgde hyperlink" xfId="324" builtinId="9" hidden="1"/>
    <cellStyle name="Gevolgde hyperlink" xfId="350" builtinId="9" hidden="1"/>
    <cellStyle name="Gevolgde hyperlink" xfId="216" builtinId="9" hidden="1"/>
    <cellStyle name="Gevolgde hyperlink" xfId="554" builtinId="9" hidden="1"/>
    <cellStyle name="Gevolgde hyperlink" xfId="398" builtinId="9" hidden="1"/>
    <cellStyle name="Gevolgde hyperlink" xfId="62" builtinId="9" hidden="1"/>
    <cellStyle name="Gevolgde hyperlink" xfId="661" builtinId="9" hidden="1"/>
    <cellStyle name="Gevolgde hyperlink" xfId="72" builtinId="9" hidden="1"/>
    <cellStyle name="Gevolgde hyperlink" xfId="114" builtinId="9" hidden="1"/>
    <cellStyle name="Gevolgde hyperlink" xfId="530" builtinId="9" hidden="1"/>
    <cellStyle name="Gevolgde hyperlink" xfId="496" builtinId="9" hidden="1"/>
    <cellStyle name="Gevolgde hyperlink" xfId="460" builtinId="9" hidden="1"/>
    <cellStyle name="Gevolgde hyperlink" xfId="384" builtinId="9" hidden="1"/>
    <cellStyle name="Gevolgde hyperlink" xfId="354" builtinId="9" hidden="1"/>
    <cellStyle name="Gevolgde hyperlink" xfId="418" builtinId="9" hidden="1"/>
    <cellStyle name="Gevolgde hyperlink" xfId="424" builtinId="9" hidden="1"/>
    <cellStyle name="Gevolgde hyperlink" xfId="524" builtinId="9" hidden="1"/>
    <cellStyle name="Gevolgde hyperlink" xfId="76" builtinId="9" hidden="1"/>
    <cellStyle name="Gevolgde hyperlink" xfId="631" builtinId="9" hidden="1"/>
    <cellStyle name="Gevolgde hyperlink" xfId="218" builtinId="9" hidden="1"/>
    <cellStyle name="Gevolgde hyperlink" xfId="733" builtinId="9" hidden="1"/>
    <cellStyle name="Gevolgde hyperlink" xfId="70" builtinId="9" hidden="1"/>
    <cellStyle name="Gevolgde hyperlink" xfId="597" builtinId="9" hidden="1"/>
    <cellStyle name="Gevolgde hyperlink" xfId="576" builtinId="9" hidden="1"/>
    <cellStyle name="Gevolgde hyperlink" xfId="490" builtinId="9" hidden="1"/>
    <cellStyle name="Gevolgde hyperlink" xfId="282" builtinId="9" hidden="1"/>
    <cellStyle name="Gevolgde hyperlink" xfId="318" builtinId="9" hidden="1"/>
    <cellStyle name="Gevolgde hyperlink" xfId="388" builtinId="9" hidden="1"/>
    <cellStyle name="Gevolgde hyperlink" xfId="212" builtinId="9" hidden="1"/>
    <cellStyle name="Gevolgde hyperlink" xfId="494" builtinId="9" hidden="1"/>
    <cellStyle name="Gevolgde hyperlink" xfId="182" builtinId="9" hidden="1"/>
    <cellStyle name="Gevolgde hyperlink" xfId="230" builtinId="9" hidden="1"/>
    <cellStyle name="Gevolgde hyperlink" xfId="5" builtinId="9" hidden="1"/>
    <cellStyle name="Gevolgde hyperlink" xfId="314" builtinId="9" hidden="1"/>
    <cellStyle name="Gevolgde hyperlink" xfId="536" builtinId="9" hidden="1"/>
    <cellStyle name="Gevolgde hyperlink" xfId="627" builtinId="9" hidden="1"/>
    <cellStyle name="Gevolgde hyperlink" xfId="144" builtinId="9" hidden="1"/>
    <cellStyle name="Gevolgde hyperlink" xfId="520" builtinId="9" hidden="1"/>
    <cellStyle name="Gevolgde hyperlink" xfId="252" builtinId="9" hidden="1"/>
    <cellStyle name="Gevolgde hyperlink" xfId="128" builtinId="9" hidden="1"/>
    <cellStyle name="Gevolgde hyperlink" xfId="358" builtinId="9" hidden="1"/>
    <cellStyle name="Gevolgde hyperlink" xfId="242" builtinId="9" hidden="1"/>
    <cellStyle name="Gevolgde hyperlink" xfId="623" builtinId="9" hidden="1"/>
    <cellStyle name="Gevolgde hyperlink" xfId="136" builtinId="9" hidden="1"/>
    <cellStyle name="Gevolgde hyperlink" xfId="635" builtinId="9" hidden="1"/>
    <cellStyle name="Gevolgde hyperlink" xfId="322" builtinId="9" hidden="1"/>
    <cellStyle name="Gevolgde hyperlink" xfId="741" builtinId="9" hidden="1"/>
    <cellStyle name="Gevolgde hyperlink" xfId="66" builtinId="9" hidden="1"/>
    <cellStyle name="Gevolgde hyperlink" xfId="703" builtinId="9" hidden="1"/>
    <cellStyle name="Gevolgde hyperlink" xfId="178" builtinId="9" hidden="1"/>
    <cellStyle name="Gevolgde hyperlink" xfId="486" builtinId="9" hidden="1"/>
    <cellStyle name="Gevolgde hyperlink" xfId="380" builtinId="9" hidden="1"/>
    <cellStyle name="Gevolgde hyperlink" xfId="478" builtinId="9" hidden="1"/>
    <cellStyle name="Gevolgde hyperlink" xfId="316" builtinId="9" hidden="1"/>
    <cellStyle name="Gevolgde hyperlink" xfId="410" builtinId="9" hidden="1"/>
    <cellStyle name="Gevolgde hyperlink" xfId="516" builtinId="9" hidden="1"/>
    <cellStyle name="Gevolgde hyperlink" xfId="288" builtinId="9" hidden="1"/>
    <cellStyle name="Gevolgde hyperlink" xfId="298" builtinId="9" hidden="1"/>
    <cellStyle name="Gevolgde hyperlink" xfId="134" builtinId="9" hidden="1"/>
    <cellStyle name="Gevolgde hyperlink" xfId="422" builtinId="9" hidden="1"/>
    <cellStyle name="Gevolgde hyperlink" xfId="84" builtinId="9" hidden="1"/>
    <cellStyle name="Gevolgde hyperlink" xfId="675" builtinId="9" hidden="1"/>
    <cellStyle name="Gevolgde hyperlink" xfId="202" builtinId="9" hidden="1"/>
    <cellStyle name="Gevolgde hyperlink" xfId="18" builtinId="9" hidden="1"/>
    <cellStyle name="Gevolgde hyperlink" xfId="611" builtinId="9" hidden="1"/>
    <cellStyle name="Gevolgde hyperlink" xfId="22" builtinId="9" hidden="1"/>
    <cellStyle name="Gevolgde hyperlink" xfId="362" builtinId="9" hidden="1"/>
    <cellStyle name="Gevolgde hyperlink" xfId="657" builtinId="9" hidden="1"/>
    <cellStyle name="Gevolgde hyperlink" xfId="468" builtinId="9" hidden="1"/>
    <cellStyle name="Gevolgde hyperlink" xfId="132" builtinId="9" hidden="1"/>
    <cellStyle name="Gevolgde hyperlink" xfId="707" builtinId="9" hidden="1"/>
    <cellStyle name="Gevolgde hyperlink" xfId="194" builtinId="9" hidden="1"/>
    <cellStyle name="Gevolgde hyperlink" xfId="745" builtinId="9" hidden="1"/>
    <cellStyle name="Gevolgde hyperlink" xfId="7" builtinId="9" hidden="1"/>
    <cellStyle name="Gevolgde hyperlink" xfId="653" builtinId="9" hidden="1"/>
    <cellStyle name="Gevolgde hyperlink" xfId="248" builtinId="9" hidden="1"/>
    <cellStyle name="Gevolgde hyperlink" xfId="546" builtinId="9" hidden="1"/>
    <cellStyle name="Gevolgde hyperlink" xfId="220" builtinId="9" hidden="1"/>
    <cellStyle name="Gevolgde hyperlink" xfId="296" builtinId="9" hidden="1"/>
    <cellStyle name="Gevolgde hyperlink" xfId="332" builtinId="9" hidden="1"/>
    <cellStyle name="Gevolgde hyperlink" xfId="270" builtinId="9" hidden="1"/>
    <cellStyle name="Gevolgde hyperlink" xfId="326" builtinId="9" hidden="1"/>
    <cellStyle name="Gevolgde hyperlink" xfId="552" builtinId="9" hidden="1"/>
    <cellStyle name="Gevolgde hyperlink" xfId="442" builtinId="9" hidden="1"/>
    <cellStyle name="Gevolgde hyperlink" xfId="681" builtinId="9" hidden="1"/>
    <cellStyle name="Gevolgde hyperlink" xfId="715" builtinId="9" hidden="1"/>
    <cellStyle name="Gevolgde hyperlink" xfId="464" builtinId="9" hidden="1"/>
    <cellStyle name="Gevolgde hyperlink" xfId="683" builtinId="9" hidden="1"/>
    <cellStyle name="Gevolgde hyperlink" xfId="88" builtinId="9" hidden="1"/>
    <cellStyle name="Gevolgde hyperlink" xfId="414" builtinId="9" hidden="1"/>
    <cellStyle name="Gevolgde hyperlink" xfId="126" builtinId="9" hidden="1"/>
    <cellStyle name="Gevolgde hyperlink" xfId="406" builtinId="9" hidden="1"/>
    <cellStyle name="Gevolgde hyperlink" xfId="302" builtinId="9" hidden="1"/>
    <cellStyle name="Gevolgde hyperlink" xfId="300" builtinId="9" hidden="1"/>
    <cellStyle name="Gevolgde hyperlink" xfId="472" builtinId="9" hidden="1"/>
    <cellStyle name="Gevolgde hyperlink" xfId="484" builtinId="9" hidden="1"/>
    <cellStyle name="Gevolgde hyperlink" xfId="356" builtinId="9" hidden="1"/>
    <cellStyle name="Gevolgde hyperlink" xfId="264" builtinId="9" hidden="1"/>
    <cellStyle name="Gevolgde hyperlink" xfId="685" builtinId="9" hidden="1"/>
    <cellStyle name="Gevolgde hyperlink" xfId="11" builtinId="9" hidden="1"/>
    <cellStyle name="Gevolgde hyperlink" xfId="713" builtinId="9" hidden="1"/>
    <cellStyle name="Gevolgde hyperlink" xfId="186" builtinId="9" hidden="1"/>
    <cellStyle name="Gevolgde hyperlink" xfId="258" builtinId="9" hidden="1"/>
    <cellStyle name="Gevolgde hyperlink" xfId="164" builtinId="9" hidden="1"/>
    <cellStyle name="Gevolgde hyperlink" xfId="436" builtinId="9" hidden="1"/>
    <cellStyle name="Gevolgde hyperlink" xfId="671" builtinId="9" hidden="1"/>
    <cellStyle name="Gevolgde hyperlink" xfId="274" builtinId="9" hidden="1"/>
    <cellStyle name="Gevolgde hyperlink" xfId="404" builtinId="9" hidden="1"/>
    <cellStyle name="Gevolgde hyperlink" xfId="38" builtinId="9" hidden="1"/>
    <cellStyle name="Gevolgde hyperlink" xfId="158" builtinId="9" hidden="1"/>
    <cellStyle name="Gevolgde hyperlink" xfId="717" builtinId="9" hidden="1"/>
    <cellStyle name="Gevolgde hyperlink" xfId="721" builtinId="9" hidden="1"/>
    <cellStyle name="Gevolgde hyperlink" xfId="78" builtinId="9" hidden="1"/>
    <cellStyle name="Gevolgde hyperlink" xfId="679" builtinId="9" hidden="1"/>
    <cellStyle name="Gevolgde hyperlink" xfId="20" builtinId="9" hidden="1"/>
    <cellStyle name="Gevolgde hyperlink" xfId="572" builtinId="9" hidden="1"/>
    <cellStyle name="Gevolgde hyperlink" xfId="440" builtinId="9" hidden="1"/>
    <cellStyle name="Gevolgde hyperlink" xfId="466" builtinId="9" hidden="1"/>
    <cellStyle name="Gevolgde hyperlink" xfId="306" builtinId="9" hidden="1"/>
    <cellStyle name="Gevolgde hyperlink" xfId="352" builtinId="9" hidden="1"/>
    <cellStyle name="Gevolgde hyperlink" xfId="138" builtinId="9" hidden="1"/>
    <cellStyle name="Gevolgde hyperlink" xfId="412" builtinId="9" hidden="1"/>
    <cellStyle name="Gevolgde hyperlink" xfId="518" builtinId="9" hidden="1"/>
    <cellStyle name="Gevolgde hyperlink" xfId="198" builtinId="9" hidden="1"/>
    <cellStyle name="Gevolgde hyperlink" xfId="735" builtinId="9" hidden="1"/>
    <cellStyle name="Gevolgde hyperlink" xfId="13" builtinId="9" hidden="1"/>
    <cellStyle name="Gevolgde hyperlink" xfId="709" builtinId="9" hidden="1"/>
    <cellStyle name="Gevolgde hyperlink" xfId="510" builtinId="9" hidden="1"/>
    <cellStyle name="Gevolgde hyperlink" xfId="603" builtinId="9" hidden="1"/>
    <cellStyle name="Gevolgde hyperlink" xfId="238" builtinId="9" hidden="1"/>
    <cellStyle name="Gevolgde hyperlink" xfId="426" builtinId="9" hidden="1"/>
    <cellStyle name="Gevolgde hyperlink" xfId="544" builtinId="9" hidden="1"/>
    <cellStyle name="Gevolgde hyperlink" xfId="112" builtinId="9" hidden="1"/>
    <cellStyle name="Gevolgde hyperlink" xfId="532" builtinId="9" hidden="1"/>
    <cellStyle name="Gevolgde hyperlink" xfId="304" builtinId="9" hidden="1"/>
    <cellStyle name="Gevolgde hyperlink" xfId="320" builtinId="9" hidden="1"/>
    <cellStyle name="Gevolgde hyperlink" xfId="570" builtinId="9" hidden="1"/>
    <cellStyle name="Gevolgde hyperlink" xfId="280" builtinId="9" hidden="1"/>
    <cellStyle name="Gevolgde hyperlink" xfId="392" builtinId="9" hidden="1"/>
    <cellStyle name="Gevolgde hyperlink" xfId="454" builtinId="9" hidden="1"/>
    <cellStyle name="Gevolgde hyperlink" xfId="64" builtinId="9" hidden="1"/>
    <cellStyle name="Gevolgde hyperlink" xfId="607" builtinId="9" hidden="1"/>
    <cellStyle name="Gevolgde hyperlink" xfId="589" builtinId="9" hidden="1"/>
    <cellStyle name="Gevolgde hyperlink" xfId="408" builtinId="9" hidden="1"/>
    <cellStyle name="Gevolgde hyperlink" xfId="168" builtinId="9" hidden="1"/>
    <cellStyle name="Gevolgde hyperlink" xfId="276" builtinId="9" hidden="1"/>
    <cellStyle name="Gevolgde hyperlink" xfId="26" builtinId="9" hidden="1"/>
    <cellStyle name="Gevolgde hyperlink" xfId="711" builtinId="9" hidden="1"/>
    <cellStyle name="Gevolgde hyperlink" xfId="659" builtinId="9" hidden="1"/>
    <cellStyle name="Gevolgde hyperlink" xfId="633" builtinId="9" hidden="1"/>
    <cellStyle name="Gevolgde hyperlink" xfId="452" builtinId="9" hidden="1"/>
    <cellStyle name="Gevolgde hyperlink" xfId="92" builtinId="9" hidden="1"/>
    <cellStyle name="Gevolgde hyperlink" xfId="254" builtinId="9" hidden="1"/>
    <cellStyle name="Gevolgde hyperlink" xfId="346" builtinId="9" hidden="1"/>
    <cellStyle name="Gevolgde hyperlink" xfId="739" builtinId="9" hidden="1"/>
    <cellStyle name="Gevolgde hyperlink" xfId="162" builtinId="9" hidden="1"/>
    <cellStyle name="Gevolgde hyperlink" xfId="148" builtinId="9" hidden="1"/>
    <cellStyle name="Gevolgde hyperlink" xfId="558" builtinId="9" hidden="1"/>
    <cellStyle name="Gevolgde hyperlink" xfId="462" builtinId="9" hidden="1"/>
    <cellStyle name="Hyperlink" xfId="569" builtinId="8" hidden="1"/>
    <cellStyle name="Hyperlink" xfId="561" builtinId="8" hidden="1"/>
    <cellStyle name="Hyperlink" xfId="529" builtinId="8" hidden="1"/>
    <cellStyle name="Hyperlink" xfId="748" builtinId="8" hidden="1"/>
    <cellStyle name="Hyperlink" xfId="714" builtinId="8" hidden="1"/>
    <cellStyle name="Hyperlink" xfId="672" builtinId="8" hidden="1"/>
    <cellStyle name="Hyperlink" xfId="521" builtinId="8" hidden="1"/>
    <cellStyle name="Hyperlink" xfId="271" builtinId="8" hidden="1"/>
    <cellStyle name="Hyperlink" xfId="433" builtinId="8" hidden="1"/>
    <cellStyle name="Hyperlink" xfId="445" builtinId="8" hidden="1"/>
    <cellStyle name="Hyperlink" xfId="531" builtinId="8" hidden="1"/>
    <cellStyle name="Hyperlink" xfId="477" builtinId="8" hidden="1"/>
    <cellStyle name="Hyperlink" xfId="555" builtinId="8" hidden="1"/>
    <cellStyle name="Hyperlink" xfId="525" builtinId="8" hidden="1"/>
    <cellStyle name="Hyperlink" xfId="439" builtinId="8" hidden="1"/>
    <cellStyle name="Hyperlink" xfId="373" builtinId="8" hidden="1"/>
    <cellStyle name="Hyperlink" xfId="427" builtinId="8" hidden="1"/>
    <cellStyle name="Hyperlink" xfId="668" builtinId="8" hidden="1"/>
    <cellStyle name="Hyperlink" xfId="169" builtinId="8" hidden="1"/>
    <cellStyle name="Hyperlink" xfId="129" builtinId="8" hidden="1"/>
    <cellStyle name="Hyperlink" xfId="337" builtinId="8" hidden="1"/>
    <cellStyle name="Hyperlink" xfId="473" builtinId="8" hidden="1"/>
    <cellStyle name="Hyperlink" xfId="457" builtinId="8" hidden="1"/>
    <cellStyle name="Hyperlink" xfId="708" builtinId="8" hidden="1"/>
    <cellStyle name="Hyperlink" xfId="736" builtinId="8" hidden="1"/>
    <cellStyle name="Hyperlink" xfId="696" builtinId="8" hidden="1"/>
    <cellStyle name="Hyperlink" xfId="553" builtinId="8" hidden="1"/>
    <cellStyle name="Hyperlink" xfId="133" builtinId="8" hidden="1"/>
    <cellStyle name="Hyperlink" xfId="229" builtinId="8" hidden="1"/>
    <cellStyle name="Hyperlink" xfId="227" builtinId="8" hidden="1"/>
    <cellStyle name="Hyperlink" xfId="740" builtinId="8" hidden="1"/>
    <cellStyle name="Hyperlink" xfId="688" builtinId="8" hidden="1"/>
    <cellStyle name="Hyperlink" xfId="686" builtinId="8" hidden="1"/>
    <cellStyle name="Hyperlink" xfId="652" builtinId="8" hidden="1"/>
    <cellStyle name="Hyperlink" xfId="173" builtinId="8" hidden="1"/>
    <cellStyle name="Hyperlink" xfId="658" builtinId="8" hidden="1"/>
    <cellStyle name="Hyperlink" xfId="730" builtinId="8" hidden="1"/>
    <cellStyle name="Hyperlink" xfId="211" builtinId="8" hidden="1"/>
    <cellStyle name="Hyperlink" xfId="347" builtinId="8" hidden="1"/>
    <cellStyle name="Hyperlink" xfId="638" builtinId="8" hidden="1"/>
    <cellStyle name="Hyperlink" xfId="97" builtinId="8" hidden="1"/>
    <cellStyle name="Hyperlink" xfId="297" builtinId="8" hidden="1"/>
    <cellStyle name="Hyperlink" xfId="682" builtinId="8" hidden="1"/>
    <cellStyle name="Hyperlink" xfId="65" builtinId="8" hidden="1"/>
    <cellStyle name="Hyperlink" xfId="345" builtinId="8" hidden="1"/>
    <cellStyle name="Hyperlink" xfId="121" builtinId="8" hidden="1"/>
    <cellStyle name="Hyperlink" xfId="369" builtinId="8" hidden="1"/>
    <cellStyle name="Hyperlink" xfId="149" builtinId="8" hidden="1"/>
    <cellStyle name="Hyperlink" xfId="209" builtinId="8" hidden="1"/>
    <cellStyle name="Hyperlink" xfId="163" builtinId="8" hidden="1"/>
    <cellStyle name="Hyperlink" xfId="305" builtinId="8" hidden="1"/>
    <cellStyle name="Hyperlink" xfId="225" builtinId="8" hidden="1"/>
    <cellStyle name="Hyperlink" xfId="666" builtinId="8" hidden="1"/>
    <cellStyle name="Hyperlink" xfId="664" builtinId="8" hidden="1"/>
    <cellStyle name="Hyperlink" xfId="285" builtinId="8" hidden="1"/>
    <cellStyle name="Hyperlink" xfId="343" builtinId="8" hidden="1"/>
    <cellStyle name="Hyperlink" xfId="547" builtinId="8" hidden="1"/>
    <cellStyle name="Hyperlink" xfId="441" builtinId="8" hidden="1"/>
    <cellStyle name="Hyperlink" xfId="99" builtinId="8" hidden="1"/>
    <cellStyle name="Hyperlink" xfId="119" builtinId="8" hidden="1"/>
    <cellStyle name="Hyperlink" xfId="165" builtinId="8" hidden="1"/>
    <cellStyle name="Hyperlink" xfId="19" builtinId="8" hidden="1"/>
    <cellStyle name="Hyperlink" xfId="746" builtinId="8" hidden="1"/>
    <cellStyle name="Hyperlink" xfId="289" builtinId="8" hidden="1"/>
    <cellStyle name="Hyperlink" xfId="451" builtinId="8" hidden="1"/>
    <cellStyle name="Hyperlink" xfId="616" builtinId="8" hidden="1"/>
    <cellStyle name="Hyperlink" xfId="405" builtinId="8" hidden="1"/>
    <cellStyle name="Hyperlink" xfId="151" builtinId="8" hidden="1"/>
    <cellStyle name="Hyperlink" xfId="325" builtinId="8" hidden="1"/>
    <cellStyle name="Hyperlink" xfId="291" builtinId="8" hidden="1"/>
    <cellStyle name="Hyperlink" xfId="403" builtinId="8" hidden="1"/>
    <cellStyle name="Hyperlink" xfId="339" builtinId="8" hidden="1"/>
    <cellStyle name="Hyperlink" xfId="395" builtinId="8" hidden="1"/>
    <cellStyle name="Hyperlink" xfId="313" builtinId="8" hidden="1"/>
    <cellStyle name="Hyperlink" xfId="233" builtinId="8" hidden="1"/>
    <cellStyle name="Hyperlink" xfId="371" builtinId="8" hidden="1"/>
    <cellStyle name="Hyperlink" xfId="363" builtinId="8" hidden="1"/>
    <cellStyle name="Hyperlink" xfId="45" builtinId="8" hidden="1"/>
    <cellStyle name="Hyperlink" xfId="323" builtinId="8" hidden="1"/>
    <cellStyle name="Hyperlink" xfId="265" builtinId="8" hidden="1"/>
    <cellStyle name="Hyperlink" xfId="417" builtinId="8" hidden="1"/>
    <cellStyle name="Hyperlink" xfId="481" builtinId="8" hidden="1"/>
    <cellStyle name="Hyperlink" xfId="503" builtinId="8" hidden="1"/>
    <cellStyle name="Hyperlink" xfId="614" builtinId="8" hidden="1"/>
    <cellStyle name="Hyperlink" xfId="718" builtinId="8" hidden="1"/>
    <cellStyle name="Hyperlink" xfId="698" builtinId="8" hidden="1"/>
    <cellStyle name="Hyperlink" xfId="626" builtinId="8" hidden="1"/>
    <cellStyle name="Hyperlink" xfId="676" builtinId="8" hidden="1"/>
    <cellStyle name="Hyperlink" xfId="157" builtinId="8" hidden="1"/>
    <cellStyle name="Hyperlink" xfId="710" builtinId="8" hidden="1"/>
    <cellStyle name="Hyperlink" xfId="381" builtinId="8" hidden="1"/>
    <cellStyle name="Hyperlink" xfId="716" builtinId="8" hidden="1"/>
    <cellStyle name="Hyperlink" xfId="273" builtinId="8" hidden="1"/>
    <cellStyle name="Hyperlink" xfId="459" builtinId="8" hidden="1"/>
    <cellStyle name="Hyperlink" xfId="612" builtinId="8" hidden="1"/>
    <cellStyle name="Hyperlink" xfId="49" builtinId="8" hidden="1"/>
    <cellStyle name="Hyperlink" xfId="95" builtinId="8" hidden="1"/>
    <cellStyle name="Hyperlink" xfId="23" builtinId="8" hidden="1"/>
    <cellStyle name="Hyperlink" xfId="161" builtinId="8" hidden="1"/>
    <cellStyle name="Hyperlink" xfId="47" builtinId="8" hidden="1"/>
    <cellStyle name="Hyperlink" xfId="267" builtinId="8" hidden="1"/>
    <cellStyle name="Hyperlink" xfId="509" builtinId="8" hidden="1"/>
    <cellStyle name="Hyperlink" xfId="341" builtinId="8" hidden="1"/>
    <cellStyle name="Hyperlink" xfId="303" builtinId="8" hidden="1"/>
    <cellStyle name="Hyperlink" xfId="317" builtinId="8" hidden="1"/>
    <cellStyle name="Hyperlink" xfId="449" builtinId="8" hidden="1"/>
    <cellStyle name="Hyperlink" xfId="577" builtinId="8" hidden="1"/>
    <cellStyle name="Hyperlink" xfId="744" builtinId="8" hidden="1"/>
    <cellStyle name="Hyperlink" xfId="680" builtinId="8" hidden="1"/>
    <cellStyle name="Hyperlink" xfId="453" builtinId="8" hidden="1"/>
    <cellStyle name="Hyperlink" xfId="475" builtinId="8" hidden="1"/>
    <cellStyle name="Hyperlink" xfId="507" builtinId="8" hidden="1"/>
    <cellStyle name="Hyperlink" xfId="517" builtinId="8" hidden="1"/>
    <cellStyle name="Hyperlink" xfId="539" builtinId="8" hidden="1"/>
    <cellStyle name="Hyperlink" xfId="559" builtinId="8" hidden="1"/>
    <cellStyle name="Hyperlink" xfId="600" builtinId="8" hidden="1"/>
    <cellStyle name="Hyperlink" xfId="604" builtinId="8" hidden="1"/>
    <cellStyle name="Hyperlink" xfId="636" builtinId="8" hidden="1"/>
    <cellStyle name="Hyperlink" xfId="628" builtinId="8" hidden="1"/>
    <cellStyle name="Hyperlink" xfId="455" builtinId="8" hidden="1"/>
    <cellStyle name="Hyperlink" xfId="660" builtinId="8" hidden="1"/>
    <cellStyle name="Hyperlink" xfId="565" builtinId="8" hidden="1"/>
    <cellStyle name="Hyperlink" xfId="592" builtinId="8" hidden="1"/>
    <cellStyle name="Hyperlink" xfId="419" builtinId="8" hidden="1"/>
    <cellStyle name="Hyperlink" xfId="543" builtinId="8" hidden="1"/>
    <cellStyle name="Hyperlink" xfId="588" builtinId="8" hidden="1"/>
    <cellStyle name="Hyperlink" xfId="557" builtinId="8" hidden="1"/>
    <cellStyle name="Hyperlink" xfId="217" builtinId="8" hidden="1"/>
    <cellStyle name="Hyperlink" xfId="511" builtinId="8" hidden="1"/>
    <cellStyle name="Hyperlink" xfId="575" builtinId="8" hidden="1"/>
    <cellStyle name="Hyperlink" xfId="463" builtinId="8" hidden="1"/>
    <cellStyle name="Hyperlink" xfId="431" builtinId="8" hidden="1"/>
    <cellStyle name="Hyperlink" xfId="535" builtinId="8" hidden="1"/>
    <cellStyle name="Hyperlink" xfId="239" builtinId="8" hidden="1"/>
    <cellStyle name="Hyperlink" xfId="684" builtinId="8" hidden="1"/>
    <cellStyle name="Hyperlink" xfId="257" builtinId="8" hidden="1"/>
    <cellStyle name="Hyperlink" xfId="243" builtinId="8" hidden="1"/>
    <cellStyle name="Hyperlink" xfId="207" builtinId="8" hidden="1"/>
    <cellStyle name="Hyperlink" xfId="10" builtinId="8" hidden="1"/>
    <cellStyle name="Hyperlink" xfId="8" builtinId="8" hidden="1"/>
    <cellStyle name="Hyperlink" xfId="27" builtinId="8" hidden="1"/>
    <cellStyle name="Hyperlink" xfId="89" builtinId="8" hidden="1"/>
    <cellStyle name="Hyperlink" xfId="181" builtinId="8" hidden="1"/>
    <cellStyle name="Hyperlink" xfId="199" builtinId="8" hidden="1"/>
    <cellStyle name="Hyperlink" xfId="624" builtinId="8" hidden="1"/>
    <cellStyle name="Hyperlink" xfId="353" builtinId="8" hidden="1"/>
    <cellStyle name="Hyperlink" xfId="135" builtinId="8" hidden="1"/>
    <cellStyle name="Hyperlink" xfId="63" builtinId="8" hidden="1"/>
    <cellStyle name="Hyperlink" xfId="167" builtinId="8" hidden="1"/>
    <cellStyle name="Hyperlink" xfId="147" builtinId="8" hidden="1"/>
    <cellStyle name="Hyperlink" xfId="223" builtinId="8" hidden="1"/>
    <cellStyle name="Hyperlink" xfId="193" builtinId="8" hidden="1"/>
    <cellStyle name="Hyperlink" xfId="159" builtinId="8" hidden="1"/>
    <cellStyle name="Hyperlink" xfId="87" builtinId="8" hidden="1"/>
    <cellStyle name="Hyperlink" xfId="6" builtinId="8" hidden="1"/>
    <cellStyle name="Hyperlink" xfId="722" builtinId="8" hidden="1"/>
    <cellStyle name="Hyperlink" xfId="505" builtinId="8" hidden="1"/>
    <cellStyle name="Hyperlink" xfId="85" builtinId="8" hidden="1"/>
    <cellStyle name="Hyperlink" xfId="83" builtinId="8" hidden="1"/>
    <cellStyle name="Hyperlink" xfId="493" builtinId="8" hidden="1"/>
    <cellStyle name="Hyperlink" xfId="443" builtinId="8" hidden="1"/>
    <cellStyle name="Hyperlink" xfId="738" builtinId="8" hidden="1"/>
    <cellStyle name="Hyperlink" xfId="171" builtinId="8" hidden="1"/>
    <cellStyle name="Hyperlink" xfId="143" builtinId="8" hidden="1"/>
    <cellStyle name="Hyperlink" xfId="125" builtinId="8" hidden="1"/>
    <cellStyle name="Hyperlink" xfId="31" builtinId="8" hidden="1"/>
    <cellStyle name="Hyperlink" xfId="43" builtinId="8" hidden="1"/>
    <cellStyle name="Hyperlink" xfId="17" builtinId="8" hidden="1"/>
    <cellStyle name="Hyperlink" xfId="115" builtinId="8" hidden="1"/>
    <cellStyle name="Hyperlink" xfId="235" builtinId="8" hidden="1"/>
    <cellStyle name="Hyperlink" xfId="249" builtinId="8" hidden="1"/>
    <cellStyle name="Hyperlink" xfId="519" builtinId="8" hidden="1"/>
    <cellStyle name="Hyperlink" xfId="646" builtinId="8" hidden="1"/>
    <cellStyle name="Hyperlink" xfId="573" builtinId="8" hidden="1"/>
    <cellStyle name="Hyperlink" xfId="79" builtinId="8" hidden="1"/>
    <cellStyle name="Hyperlink" xfId="21" builtinId="8" hidden="1"/>
    <cellStyle name="Hyperlink" xfId="107" builtinId="8" hidden="1"/>
    <cellStyle name="Hyperlink" xfId="105" builtinId="8" hidden="1"/>
    <cellStyle name="Hyperlink" xfId="113" builtinId="8" hidden="1"/>
    <cellStyle name="Hyperlink" xfId="67" builtinId="8" hidden="1"/>
    <cellStyle name="Hyperlink" xfId="501" builtinId="8" hidden="1"/>
    <cellStyle name="Hyperlink" xfId="109" builtinId="8" hidden="1"/>
    <cellStyle name="Hyperlink" xfId="69" builtinId="8" hidden="1"/>
    <cellStyle name="Hyperlink" xfId="2" builtinId="8" hidden="1"/>
    <cellStyle name="Hyperlink" xfId="551" builtinId="8" hidden="1"/>
    <cellStyle name="Hyperlink" xfId="732" builtinId="8" hidden="1"/>
    <cellStyle name="Hyperlink" xfId="361" builtinId="8" hidden="1"/>
    <cellStyle name="Hyperlink" xfId="197" builtinId="8" hidden="1"/>
    <cellStyle name="Hyperlink" xfId="399" builtinId="8" hidden="1"/>
    <cellStyle name="Hyperlink" xfId="702" builtinId="8" hidden="1"/>
    <cellStyle name="Hyperlink" xfId="275" builtinId="8" hidden="1"/>
    <cellStyle name="Hyperlink" xfId="37" builtinId="8" hidden="1"/>
    <cellStyle name="Hyperlink" xfId="391" builtinId="8" hidden="1"/>
    <cellStyle name="Hyperlink" xfId="706" builtinId="8" hidden="1"/>
    <cellStyle name="Hyperlink" xfId="598" builtinId="8" hidden="1"/>
    <cellStyle name="Hyperlink" xfId="670" builtinId="8" hidden="1"/>
    <cellStyle name="Hyperlink" xfId="610" builtinId="8" hidden="1"/>
    <cellStyle name="Hyperlink" xfId="541" builtinId="8" hidden="1"/>
    <cellStyle name="Hyperlink" xfId="622" builtinId="8" hidden="1"/>
    <cellStyle name="Hyperlink" xfId="549" builtinId="8" hidden="1"/>
    <cellStyle name="Hyperlink" xfId="487" builtinId="8" hidden="1"/>
    <cellStyle name="Hyperlink" xfId="712" builtinId="8" hidden="1"/>
    <cellStyle name="Hyperlink" xfId="385" builtinId="8" hidden="1"/>
    <cellStyle name="Hyperlink" xfId="608" builtinId="8" hidden="1"/>
    <cellStyle name="Hyperlink" xfId="117" builtinId="8" hidden="1"/>
    <cellStyle name="Hyperlink" xfId="81" builtinId="8" hidden="1"/>
    <cellStyle name="Hyperlink" xfId="393" builtinId="8" hidden="1"/>
    <cellStyle name="Hyperlink" xfId="654" builtinId="8" hidden="1"/>
    <cellStyle name="Hyperlink" xfId="728" builtinId="8" hidden="1"/>
    <cellStyle name="Hyperlink" xfId="185" builtinId="8" hidden="1"/>
    <cellStyle name="Hyperlink" xfId="73" builtinId="8" hidden="1"/>
    <cellStyle name="Hyperlink" xfId="321" builtinId="8" hidden="1"/>
    <cellStyle name="Hyperlink" xfId="437" builtinId="8" hidden="1"/>
    <cellStyle name="Hyperlink" xfId="429" builtinId="8" hidden="1"/>
    <cellStyle name="Hyperlink" xfId="315" builtinId="8" hidden="1"/>
    <cellStyle name="Hyperlink" xfId="563" builtinId="8" hidden="1"/>
    <cellStyle name="Hyperlink" xfId="287" builtinId="8" hidden="1"/>
    <cellStyle name="Hyperlink" xfId="12" builtinId="8" hidden="1"/>
    <cellStyle name="Hyperlink" xfId="656" builtinId="8" hidden="1"/>
    <cellStyle name="Hyperlink" xfId="461" builtinId="8" hidden="1"/>
    <cellStyle name="Hyperlink" xfId="425" builtinId="8" hidden="1"/>
    <cellStyle name="Hyperlink" xfId="269" builtinId="8" hidden="1"/>
    <cellStyle name="Hyperlink" xfId="251" builtinId="8" hidden="1"/>
    <cellStyle name="Hyperlink" xfId="586" builtinId="8" hidden="1"/>
    <cellStyle name="Hyperlink" xfId="469" builtinId="8" hidden="1"/>
    <cellStyle name="Hyperlink" xfId="704" builtinId="8" hidden="1"/>
    <cellStyle name="Hyperlink" xfId="694" builtinId="8" hidden="1"/>
    <cellStyle name="Hyperlink" xfId="662" builtinId="8" hidden="1"/>
    <cellStyle name="Hyperlink" xfId="594" builtinId="8" hidden="1"/>
    <cellStyle name="Hyperlink" xfId="720" builtinId="8" hidden="1"/>
    <cellStyle name="Hyperlink" xfId="497" builtinId="8" hidden="1"/>
    <cellStyle name="Hyperlink" xfId="634" builtinId="8" hidden="1"/>
    <cellStyle name="Hyperlink" xfId="724" builtinId="8" hidden="1"/>
    <cellStyle name="Hyperlink" xfId="580" builtinId="8" hidden="1"/>
    <cellStyle name="Hyperlink" xfId="465" builtinId="8" hidden="1"/>
    <cellStyle name="Hyperlink" xfId="602" builtinId="8" hidden="1"/>
    <cellStyle name="Hyperlink" xfId="750" builtinId="8" hidden="1"/>
    <cellStyle name="Hyperlink" xfId="307" builtinId="8" hidden="1"/>
    <cellStyle name="Hyperlink" xfId="447" builtinId="8" hidden="1"/>
    <cellStyle name="Hyperlink" xfId="700" builtinId="8" hidden="1"/>
    <cellStyle name="Hyperlink" xfId="640" builtinId="8" hidden="1"/>
    <cellStyle name="Hyperlink" xfId="734" builtinId="8" hidden="1"/>
    <cellStyle name="Hyperlink" xfId="365" builtinId="8" hidden="1"/>
    <cellStyle name="Hyperlink" xfId="545" builtinId="8" hidden="1"/>
    <cellStyle name="Hyperlink" xfId="137" builtinId="8" hidden="1"/>
    <cellStyle name="Hyperlink" xfId="263" builtinId="8" hidden="1"/>
    <cellStyle name="Hyperlink" xfId="515" builtinId="8" hidden="1"/>
    <cellStyle name="Hyperlink" xfId="41" builtinId="8" hidden="1"/>
    <cellStyle name="Hyperlink" xfId="53" builtinId="8" hidden="1"/>
    <cellStyle name="Hyperlink" xfId="75" builtinId="8" hidden="1"/>
    <cellStyle name="Hyperlink" xfId="51" builtinId="8" hidden="1"/>
    <cellStyle name="Hyperlink" xfId="93" builtinId="8" hidden="1"/>
    <cellStyle name="Hyperlink" xfId="479" builtinId="8" hidden="1"/>
    <cellStyle name="Hyperlink" xfId="33" builtinId="8" hidden="1"/>
    <cellStyle name="Hyperlink" xfId="71" builtinId="8" hidden="1"/>
    <cellStyle name="Hyperlink" xfId="690" builtinId="8" hidden="1"/>
    <cellStyle name="Hyperlink" xfId="39" builtinId="8" hidden="1"/>
    <cellStyle name="Hyperlink" xfId="630" builtinId="8" hidden="1"/>
    <cellStyle name="Hyperlink" xfId="513" builtinId="8" hidden="1"/>
    <cellStyle name="Hyperlink" xfId="401" builtinId="8" hidden="1"/>
    <cellStyle name="Hyperlink" xfId="261" builtinId="8" hidden="1"/>
    <cellStyle name="Hyperlink" xfId="335" builtinId="8" hidden="1"/>
    <cellStyle name="Hyperlink" xfId="379" builtinId="8" hidden="1"/>
    <cellStyle name="Hyperlink" xfId="397" builtinId="8" hidden="1"/>
    <cellStyle name="Hyperlink" xfId="301" builtinId="8" hidden="1"/>
    <cellStyle name="Hyperlink" xfId="523" builtinId="8" hidden="1"/>
    <cellStyle name="Hyperlink" xfId="331" builtinId="8" hidden="1"/>
    <cellStyle name="Hyperlink" xfId="333" builtinId="8" hidden="1"/>
    <cellStyle name="Hyperlink" xfId="584" builtinId="8" hidden="1"/>
    <cellStyle name="Hyperlink" xfId="141" builtinId="8" hidden="1"/>
    <cellStyle name="Hyperlink" xfId="259" builtinId="8" hidden="1"/>
    <cellStyle name="Hyperlink" xfId="726" builtinId="8" hidden="1"/>
    <cellStyle name="Hyperlink" xfId="678" builtinId="8" hidden="1"/>
    <cellStyle name="Hyperlink" xfId="742" builtinId="8" hidden="1"/>
    <cellStyle name="Hyperlink" xfId="692" builtinId="8" hidden="1"/>
    <cellStyle name="Hyperlink" xfId="674" builtinId="8" hidden="1"/>
    <cellStyle name="Hyperlink" xfId="153" builtinId="8" hidden="1"/>
    <cellStyle name="Hyperlink" xfId="29" builtinId="8" hidden="1"/>
    <cellStyle name="Hyperlink" xfId="25" builtinId="8" hidden="1"/>
    <cellStyle name="Hyperlink" xfId="35" builtinId="8" hidden="1"/>
    <cellStyle name="Hyperlink" xfId="409" builtinId="8" hidden="1"/>
    <cellStyle name="Hyperlink" xfId="329" builtinId="8" hidden="1"/>
    <cellStyle name="Hyperlink" xfId="281" builtinId="8" hidden="1"/>
    <cellStyle name="Hyperlink" xfId="139" builtinId="8" hidden="1"/>
    <cellStyle name="Hyperlink" xfId="155" builtinId="8" hidden="1"/>
    <cellStyle name="Hyperlink" xfId="177" builtinId="8" hidden="1"/>
    <cellStyle name="Hyperlink" xfId="187" builtinId="8" hidden="1"/>
    <cellStyle name="Hyperlink" xfId="203" builtinId="8" hidden="1"/>
    <cellStyle name="Hyperlink" xfId="253" builtinId="8" hidden="1"/>
    <cellStyle name="Hyperlink" xfId="255" builtinId="8" hidden="1"/>
    <cellStyle name="Hyperlink" xfId="277" builtinId="8" hidden="1"/>
    <cellStyle name="Hyperlink" xfId="213" builtinId="8" hidden="1"/>
    <cellStyle name="Hyperlink" xfId="61" builtinId="8" hidden="1"/>
    <cellStyle name="Hyperlink" xfId="123" builtinId="8" hidden="1"/>
    <cellStyle name="Hyperlink" xfId="221" builtinId="8" hidden="1"/>
    <cellStyle name="Hyperlink" xfId="111" builtinId="8" hidden="1"/>
    <cellStyle name="Hyperlink" xfId="205" builtinId="8" hidden="1"/>
    <cellStyle name="Hyperlink" xfId="237" builtinId="8" hidden="1"/>
    <cellStyle name="Hyperlink" xfId="189" builtinId="8" hidden="1"/>
    <cellStyle name="Hyperlink" xfId="537" builtinId="8" hidden="1"/>
    <cellStyle name="Hyperlink" xfId="183" builtinId="8" hidden="1"/>
    <cellStyle name="Hyperlink" xfId="231" builtinId="8" hidden="1"/>
    <cellStyle name="Hyperlink" xfId="101" builtinId="8" hidden="1"/>
    <cellStyle name="Hyperlink" xfId="201" builtinId="8" hidden="1"/>
    <cellStyle name="Hyperlink" xfId="596" builtinId="8" hidden="1"/>
    <cellStyle name="Hyperlink" xfId="145" builtinId="8" hidden="1"/>
    <cellStyle name="Hyperlink" xfId="241" builtinId="8" hidden="1"/>
    <cellStyle name="Hyperlink" xfId="219" builtinId="8" hidden="1"/>
    <cellStyle name="Hyperlink" xfId="377" builtinId="8" hidden="1"/>
    <cellStyle name="Hyperlink" xfId="489" builtinId="8" hidden="1"/>
    <cellStyle name="Hyperlink" xfId="57" builtinId="8" hidden="1"/>
    <cellStyle name="Hyperlink" xfId="175" builtinId="8" hidden="1"/>
    <cellStyle name="Hyperlink" xfId="590" builtinId="8" hidden="1"/>
    <cellStyle name="Hyperlink" xfId="103" builtinId="8" hidden="1"/>
    <cellStyle name="Hyperlink" xfId="650" builtinId="8" hidden="1"/>
    <cellStyle name="Hyperlink" xfId="644" builtinId="8" hidden="1"/>
    <cellStyle name="Hyperlink" xfId="632" builtinId="8" hidden="1"/>
    <cellStyle name="Hyperlink" xfId="582" builtinId="8" hidden="1"/>
    <cellStyle name="Hyperlink" xfId="351" builtinId="8" hidden="1"/>
    <cellStyle name="Hyperlink" xfId="311" builtinId="8" hidden="1"/>
    <cellStyle name="Hyperlink" xfId="309" builtinId="8" hidden="1"/>
    <cellStyle name="Hyperlink" xfId="283" builtinId="8" hidden="1"/>
    <cellStyle name="Hyperlink" xfId="499" builtinId="8" hidden="1"/>
    <cellStyle name="Hyperlink" xfId="389" builtinId="8" hidden="1"/>
    <cellStyle name="Hyperlink" xfId="367" builtinId="8" hidden="1"/>
    <cellStyle name="Hyperlink" xfId="571" builtinId="8" hidden="1"/>
    <cellStyle name="Hyperlink" xfId="15" builtinId="8" hidden="1"/>
    <cellStyle name="Hyperlink" xfId="279" builtinId="8" hidden="1"/>
    <cellStyle name="Hyperlink" xfId="648" builtinId="8" hidden="1"/>
    <cellStyle name="Hyperlink" xfId="485" builtinId="8" hidden="1"/>
    <cellStyle name="Hyperlink" xfId="618" builtinId="8" hidden="1"/>
    <cellStyle name="Hyperlink" xfId="355" builtinId="8" hidden="1"/>
    <cellStyle name="Hyperlink" xfId="491" builtinId="8" hidden="1"/>
    <cellStyle name="Hyperlink" xfId="467" builtinId="8" hidden="1"/>
    <cellStyle name="Hyperlink" xfId="606" builtinId="8" hidden="1"/>
    <cellStyle name="Hyperlink" xfId="567" builtinId="8" hidden="1"/>
    <cellStyle name="Hyperlink" xfId="527" builtinId="8" hidden="1"/>
    <cellStyle name="Hyperlink" xfId="483" builtinId="8" hidden="1"/>
    <cellStyle name="Hyperlink" xfId="642" builtinId="8" hidden="1"/>
    <cellStyle name="Hyperlink" xfId="387" builtinId="8" hidden="1"/>
    <cellStyle name="Hyperlink" xfId="293" builtinId="8" hidden="1"/>
    <cellStyle name="Hyperlink" xfId="4" builtinId="8" hidden="1"/>
    <cellStyle name="Hyperlink" xfId="55" builtinId="8" hidden="1"/>
    <cellStyle name="Hyperlink" xfId="179" builtinId="8" hidden="1"/>
    <cellStyle name="Hyperlink" xfId="383" builtinId="8" hidden="1"/>
    <cellStyle name="Hyperlink" xfId="415" builtinId="8" hidden="1"/>
    <cellStyle name="Hyperlink" xfId="191" builtinId="8" hidden="1"/>
    <cellStyle name="Hyperlink" xfId="127" builtinId="8" hidden="1"/>
    <cellStyle name="Hyperlink" xfId="77" builtinId="8" hidden="1"/>
    <cellStyle name="Hyperlink" xfId="91" builtinId="8" hidden="1"/>
    <cellStyle name="Hyperlink" xfId="295" builtinId="8" hidden="1"/>
    <cellStyle name="Hyperlink" xfId="533" builtinId="8" hidden="1"/>
    <cellStyle name="Hyperlink" xfId="495" builtinId="8" hidden="1"/>
    <cellStyle name="Hyperlink" xfId="471" builtinId="8" hidden="1"/>
    <cellStyle name="Hyperlink" xfId="435" builtinId="8" hidden="1"/>
    <cellStyle name="Hyperlink" xfId="413" builtinId="8" hidden="1"/>
    <cellStyle name="Hyperlink" xfId="327" builtinId="8" hidden="1"/>
    <cellStyle name="Hyperlink" xfId="349" builtinId="8" hidden="1"/>
    <cellStyle name="Hyperlink" xfId="319" builtinId="8" hidden="1"/>
    <cellStyle name="Hyperlink" xfId="423" builtinId="8" hidden="1"/>
    <cellStyle name="Hyperlink" xfId="620" builtinId="8" hidden="1"/>
    <cellStyle name="Hyperlink" xfId="357" builtinId="8" hidden="1"/>
    <cellStyle name="Hyperlink" xfId="131" builtinId="8" hidden="1"/>
    <cellStyle name="Hyperlink" xfId="195" builtinId="8" hidden="1"/>
    <cellStyle name="Hyperlink" xfId="59" builtinId="8" hidden="1"/>
    <cellStyle name="Hyperlink" xfId="215" builtinId="8" hidden="1"/>
    <cellStyle name="Hyperlink" xfId="359" builtinId="8" hidden="1"/>
    <cellStyle name="Hyperlink" xfId="375" builtinId="8" hidden="1"/>
    <cellStyle name="Hyperlink" xfId="299" builtinId="8" hidden="1"/>
    <cellStyle name="Hyperlink" xfId="411" builtinId="8" hidden="1"/>
    <cellStyle name="Hyperlink" xfId="421" builtinId="8" hidden="1"/>
    <cellStyle name="Hyperlink" xfId="407" builtinId="8" hidden="1"/>
    <cellStyle name="Normal 2" xfId="14" xr:uid="{00000000-0005-0000-0000-0000EC020000}"/>
    <cellStyle name="Normal 3" xfId="245" xr:uid="{00000000-0005-0000-0000-0000ED020000}"/>
    <cellStyle name="Percent 2" xfId="247" xr:uid="{00000000-0005-0000-0000-0000EE020000}"/>
    <cellStyle name="Procent" xfId="1" builtinId="5"/>
    <cellStyle name="Standaard" xfId="0" builtinId="0"/>
  </cellStyles>
  <dxfs count="514"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colors>
    <mruColors>
      <color rgb="FF95B3D7"/>
      <color rgb="FFCCFFCC"/>
      <color rgb="FFB7E5B8"/>
      <color rgb="FFB1D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1'!$C$69</c:f>
              <c:strCache>
                <c:ptCount val="1"/>
                <c:pt idx="0">
                  <c:v>Budget/m2 client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1'!$E$69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0-3744-B030-42233A11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919944"/>
        <c:axId val="-2076859464"/>
      </c:barChart>
      <c:catAx>
        <c:axId val="-2076919944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59464"/>
        <c:crosses val="autoZero"/>
        <c:auto val="1"/>
        <c:lblAlgn val="ctr"/>
        <c:lblOffset val="100"/>
        <c:noMultiLvlLbl val="0"/>
      </c:catAx>
      <c:valAx>
        <c:axId val="-2076859464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919944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1'!$C$70</c:f>
              <c:strCache>
                <c:ptCount val="1"/>
                <c:pt idx="0">
                  <c:v>Budget/m2 builder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1'!$E$70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A-7E4F-AAF4-692E4FEF2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315320"/>
        <c:axId val="-2076804920"/>
      </c:barChart>
      <c:catAx>
        <c:axId val="-2076315320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04920"/>
        <c:crosses val="autoZero"/>
        <c:auto val="1"/>
        <c:lblAlgn val="ctr"/>
        <c:lblOffset val="100"/>
        <c:noMultiLvlLbl val="0"/>
      </c:catAx>
      <c:valAx>
        <c:axId val="-2076804920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315320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2'!$C$69</c:f>
              <c:strCache>
                <c:ptCount val="1"/>
                <c:pt idx="0">
                  <c:v>Budget/m2 client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2'!$E$69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2-9440-B18F-D766CB5F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919944"/>
        <c:axId val="-2076859464"/>
      </c:barChart>
      <c:catAx>
        <c:axId val="-2076919944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59464"/>
        <c:crosses val="autoZero"/>
        <c:auto val="1"/>
        <c:lblAlgn val="ctr"/>
        <c:lblOffset val="100"/>
        <c:noMultiLvlLbl val="0"/>
      </c:catAx>
      <c:valAx>
        <c:axId val="-2076859464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919944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2'!$C$70</c:f>
              <c:strCache>
                <c:ptCount val="1"/>
                <c:pt idx="0">
                  <c:v>Budget/m2 builder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2'!$E$70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C242-9513-4ADAADCCE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315320"/>
        <c:axId val="-2076804920"/>
      </c:barChart>
      <c:catAx>
        <c:axId val="-2076315320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04920"/>
        <c:crosses val="autoZero"/>
        <c:auto val="1"/>
        <c:lblAlgn val="ctr"/>
        <c:lblOffset val="100"/>
        <c:noMultiLvlLbl val="0"/>
      </c:catAx>
      <c:valAx>
        <c:axId val="-2076804920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315320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3'!$C$69</c:f>
              <c:strCache>
                <c:ptCount val="1"/>
                <c:pt idx="0">
                  <c:v>Budget/m2 client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3'!$E$69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7-2043-8FD2-DBB7C9C0C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919944"/>
        <c:axId val="-2076859464"/>
      </c:barChart>
      <c:catAx>
        <c:axId val="-2076919944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59464"/>
        <c:crosses val="autoZero"/>
        <c:auto val="1"/>
        <c:lblAlgn val="ctr"/>
        <c:lblOffset val="100"/>
        <c:noMultiLvlLbl val="0"/>
      </c:catAx>
      <c:valAx>
        <c:axId val="-2076859464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919944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3'!$C$70</c:f>
              <c:strCache>
                <c:ptCount val="1"/>
                <c:pt idx="0">
                  <c:v>Budget/m2 builder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3'!$E$70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5-594E-9118-FBF6E844D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315320"/>
        <c:axId val="-2076804920"/>
      </c:barChart>
      <c:catAx>
        <c:axId val="-2076315320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04920"/>
        <c:crosses val="autoZero"/>
        <c:auto val="1"/>
        <c:lblAlgn val="ctr"/>
        <c:lblOffset val="100"/>
        <c:noMultiLvlLbl val="0"/>
      </c:catAx>
      <c:valAx>
        <c:axId val="-2076804920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315320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4'!$C$69</c:f>
              <c:strCache>
                <c:ptCount val="1"/>
                <c:pt idx="0">
                  <c:v>Budget/m2 client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4'!$E$69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8-D844-A7BE-8E4CA9F7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919944"/>
        <c:axId val="-2076859464"/>
      </c:barChart>
      <c:catAx>
        <c:axId val="-2076919944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59464"/>
        <c:crosses val="autoZero"/>
        <c:auto val="1"/>
        <c:lblAlgn val="ctr"/>
        <c:lblOffset val="100"/>
        <c:noMultiLvlLbl val="0"/>
      </c:catAx>
      <c:valAx>
        <c:axId val="-2076859464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919944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overlay val="0"/>
      <c:txPr>
        <a:bodyPr/>
        <a:lstStyle/>
        <a:p>
          <a:pPr>
            <a:defRPr sz="1200"/>
          </a:pPr>
          <a:endParaRPr lang="nl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show 4'!$C$70</c:f>
              <c:strCache>
                <c:ptCount val="1"/>
                <c:pt idx="0">
                  <c:v>Budget/m2 builder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'Budget show 4'!$E$70</c:f>
              <c:numCache>
                <c:formatCode>_-[$€-2]\ * #,##0.00_-;_-[$€-2]\ * #,##0.00\-;_-[$€-2]\ 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B-D548-B326-9F92B3C1C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6315320"/>
        <c:axId val="-2076804920"/>
      </c:barChart>
      <c:catAx>
        <c:axId val="-2076315320"/>
        <c:scaling>
          <c:orientation val="minMax"/>
        </c:scaling>
        <c:delete val="1"/>
        <c:axPos val="l"/>
        <c:majorTickMark val="out"/>
        <c:minorTickMark val="none"/>
        <c:tickLblPos val="nextTo"/>
        <c:crossAx val="-2076804920"/>
        <c:crosses val="autoZero"/>
        <c:auto val="1"/>
        <c:lblAlgn val="ctr"/>
        <c:lblOffset val="100"/>
        <c:noMultiLvlLbl val="0"/>
      </c:catAx>
      <c:valAx>
        <c:axId val="-2076804920"/>
        <c:scaling>
          <c:orientation val="minMax"/>
        </c:scaling>
        <c:delete val="1"/>
        <c:axPos val="b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076315320"/>
        <c:crosses val="autoZero"/>
        <c:crossBetween val="between"/>
      </c:valAx>
    </c:plotArea>
    <c:plotVisOnly val="1"/>
    <c:dispBlanksAs val="gap"/>
    <c:showDLblsOverMax val="0"/>
  </c:chart>
  <c:spPr>
    <a:effectLst>
      <a:glow rad="635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 in Euro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Rapportage!$B$4:$B$6</c:f>
              <c:strCache>
                <c:ptCount val="3"/>
                <c:pt idx="0">
                  <c:v>Budget</c:v>
                </c:pt>
                <c:pt idx="1">
                  <c:v>Calculated</c:v>
                </c:pt>
                <c:pt idx="2">
                  <c:v>Final margin</c:v>
                </c:pt>
              </c:strCache>
            </c:strRef>
          </c:cat>
          <c:val>
            <c:numRef>
              <c:f>Rapportage!$C$4:$C$6</c:f>
              <c:numCache>
                <c:formatCode>_-[$€-2]\ * #,##0.00_-;_-[$€-2]\ * #,##0.00\-;_-[$€-2]\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8039.86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D-9C48-A30F-2E51AB65C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00319336"/>
        <c:axId val="2033465816"/>
      </c:barChart>
      <c:catAx>
        <c:axId val="-2100319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33465816"/>
        <c:crosses val="autoZero"/>
        <c:auto val="1"/>
        <c:lblAlgn val="ctr"/>
        <c:lblOffset val="100"/>
        <c:noMultiLvlLbl val="0"/>
      </c:catAx>
      <c:valAx>
        <c:axId val="2033465816"/>
        <c:scaling>
          <c:orientation val="minMax"/>
        </c:scaling>
        <c:delete val="0"/>
        <c:axPos val="l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-2100319336"/>
        <c:crosses val="autoZero"/>
        <c:crossBetween val="between"/>
      </c:valAx>
    </c:plotArea>
    <c:plotVisOnly val="1"/>
    <c:dispBlanksAs val="gap"/>
    <c:showDLblsOverMax val="0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 in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Rapportage!$B$4:$B$6</c:f>
              <c:strCache>
                <c:ptCount val="3"/>
                <c:pt idx="0">
                  <c:v>Budget</c:v>
                </c:pt>
                <c:pt idx="1">
                  <c:v>Calculated</c:v>
                </c:pt>
                <c:pt idx="2">
                  <c:v>Final margin</c:v>
                </c:pt>
              </c:strCache>
            </c:strRef>
          </c:cat>
          <c:val>
            <c:numRef>
              <c:f>Rapportage!$D$4:$D$6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8-F44D-8C9A-AAA2BD8BF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00369688"/>
        <c:axId val="-2100393624"/>
      </c:barChart>
      <c:catAx>
        <c:axId val="-2100369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100393624"/>
        <c:crosses val="autoZero"/>
        <c:auto val="1"/>
        <c:lblAlgn val="ctr"/>
        <c:lblOffset val="100"/>
        <c:noMultiLvlLbl val="0"/>
      </c:catAx>
      <c:valAx>
        <c:axId val="-21003936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-2100369688"/>
        <c:crosses val="autoZero"/>
        <c:crossBetween val="between"/>
      </c:valAx>
    </c:plotArea>
    <c:plotVisOnly val="1"/>
    <c:dispBlanksAs val="gap"/>
    <c:showDLblsOverMax val="0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PM costs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Rapportage!$B$23:$B$25</c:f>
              <c:strCache>
                <c:ptCount val="3"/>
                <c:pt idx="0">
                  <c:v>Budget</c:v>
                </c:pt>
                <c:pt idx="1">
                  <c:v>Calculated</c:v>
                </c:pt>
                <c:pt idx="2">
                  <c:v>Actual spend</c:v>
                </c:pt>
              </c:strCache>
            </c:strRef>
          </c:cat>
          <c:val>
            <c:numRef>
              <c:f>Rapportage!$C$23:$C$25</c:f>
              <c:numCache>
                <c:formatCode>_-[$€-2]\ * #,##0.00_-;_-[$€-2]\ * #,##0.00\-;_-[$€-2]\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841.14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1-3E4C-8A0E-8B52157C3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473304"/>
        <c:axId val="2033487880"/>
      </c:barChart>
      <c:catAx>
        <c:axId val="2033473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33487880"/>
        <c:crosses val="autoZero"/>
        <c:auto val="1"/>
        <c:lblAlgn val="ctr"/>
        <c:lblOffset val="100"/>
        <c:noMultiLvlLbl val="0"/>
      </c:catAx>
      <c:valAx>
        <c:axId val="2033487880"/>
        <c:scaling>
          <c:orientation val="minMax"/>
        </c:scaling>
        <c:delete val="0"/>
        <c:axPos val="l"/>
        <c:majorGridlines/>
        <c:numFmt formatCode="_-[$€-2]\ * #,##0.00_-;_-[$€-2]\ * #,##0.00\-;_-[$€-2]\ * &quot;-&quot;??_-;_-@_-" sourceLinked="1"/>
        <c:majorTickMark val="out"/>
        <c:minorTickMark val="none"/>
        <c:tickLblPos val="nextTo"/>
        <c:crossAx val="2033473304"/>
        <c:crosses val="autoZero"/>
        <c:crossBetween val="between"/>
      </c:valAx>
    </c:plotArea>
    <c:plotVisOnly val="1"/>
    <c:dispBlanksAs val="gap"/>
    <c:showDLblsOverMax val="0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604520</xdr:colOff>
      <xdr:row>67</xdr:row>
      <xdr:rowOff>25400</xdr:rowOff>
    </xdr:from>
    <xdr:to>
      <xdr:col>10</xdr:col>
      <xdr:colOff>1249680</xdr:colOff>
      <xdr:row>78</xdr:row>
      <xdr:rowOff>172720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62754</xdr:colOff>
      <xdr:row>67</xdr:row>
      <xdr:rowOff>37652</xdr:rowOff>
    </xdr:from>
    <xdr:to>
      <xdr:col>6</xdr:col>
      <xdr:colOff>383093</xdr:colOff>
      <xdr:row>78</xdr:row>
      <xdr:rowOff>184972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52</xdr:row>
      <xdr:rowOff>30480</xdr:rowOff>
    </xdr:from>
    <xdr:to>
      <xdr:col>4</xdr:col>
      <xdr:colOff>812800</xdr:colOff>
      <xdr:row>53</xdr:row>
      <xdr:rowOff>132080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783840" y="8412480"/>
          <a:ext cx="0" cy="284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604520</xdr:colOff>
      <xdr:row>67</xdr:row>
      <xdr:rowOff>25400</xdr:rowOff>
    </xdr:from>
    <xdr:to>
      <xdr:col>10</xdr:col>
      <xdr:colOff>1249680</xdr:colOff>
      <xdr:row>78</xdr:row>
      <xdr:rowOff>172720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BBA3FD6-7BBB-9C4E-AF29-FB14450ED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62754</xdr:colOff>
      <xdr:row>67</xdr:row>
      <xdr:rowOff>37652</xdr:rowOff>
    </xdr:from>
    <xdr:to>
      <xdr:col>6</xdr:col>
      <xdr:colOff>383093</xdr:colOff>
      <xdr:row>78</xdr:row>
      <xdr:rowOff>184972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E1540F5B-381A-7D4B-A482-9E8C9B407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52</xdr:row>
      <xdr:rowOff>30480</xdr:rowOff>
    </xdr:from>
    <xdr:to>
      <xdr:col>4</xdr:col>
      <xdr:colOff>812800</xdr:colOff>
      <xdr:row>53</xdr:row>
      <xdr:rowOff>132080</xdr:rowOff>
    </xdr:to>
    <xdr:cxnSp macro="">
      <xdr:nvCxnSpPr>
        <xdr:cNvPr id="4" name="Straight Arrow Connector 2">
          <a:extLst>
            <a:ext uri="{FF2B5EF4-FFF2-40B4-BE49-F238E27FC236}">
              <a16:creationId xmlns:a16="http://schemas.microsoft.com/office/drawing/2014/main" id="{1D698321-C9AB-764E-90BC-447EFBF0FCFC}"/>
            </a:ext>
          </a:extLst>
        </xdr:cNvPr>
        <xdr:cNvCxnSpPr/>
      </xdr:nvCxnSpPr>
      <xdr:spPr>
        <a:xfrm>
          <a:off x="3314700" y="9885680"/>
          <a:ext cx="0" cy="2921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604520</xdr:colOff>
      <xdr:row>67</xdr:row>
      <xdr:rowOff>25400</xdr:rowOff>
    </xdr:from>
    <xdr:to>
      <xdr:col>10</xdr:col>
      <xdr:colOff>1249680</xdr:colOff>
      <xdr:row>78</xdr:row>
      <xdr:rowOff>172720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3D99F87-9233-8148-8D7B-2850A2BAE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62754</xdr:colOff>
      <xdr:row>67</xdr:row>
      <xdr:rowOff>37652</xdr:rowOff>
    </xdr:from>
    <xdr:to>
      <xdr:col>6</xdr:col>
      <xdr:colOff>383093</xdr:colOff>
      <xdr:row>78</xdr:row>
      <xdr:rowOff>184972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E0C3DA3D-942C-4940-99E6-CFCB6EC6C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52</xdr:row>
      <xdr:rowOff>30480</xdr:rowOff>
    </xdr:from>
    <xdr:to>
      <xdr:col>4</xdr:col>
      <xdr:colOff>812800</xdr:colOff>
      <xdr:row>53</xdr:row>
      <xdr:rowOff>132080</xdr:rowOff>
    </xdr:to>
    <xdr:cxnSp macro="">
      <xdr:nvCxnSpPr>
        <xdr:cNvPr id="4" name="Straight Arrow Connector 2">
          <a:extLst>
            <a:ext uri="{FF2B5EF4-FFF2-40B4-BE49-F238E27FC236}">
              <a16:creationId xmlns:a16="http://schemas.microsoft.com/office/drawing/2014/main" id="{18861FA2-3EFE-1246-A9BC-8DE987606C71}"/>
            </a:ext>
          </a:extLst>
        </xdr:cNvPr>
        <xdr:cNvCxnSpPr/>
      </xdr:nvCxnSpPr>
      <xdr:spPr>
        <a:xfrm>
          <a:off x="3314700" y="9885680"/>
          <a:ext cx="0" cy="2921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604520</xdr:colOff>
      <xdr:row>67</xdr:row>
      <xdr:rowOff>25400</xdr:rowOff>
    </xdr:from>
    <xdr:to>
      <xdr:col>10</xdr:col>
      <xdr:colOff>1249680</xdr:colOff>
      <xdr:row>78</xdr:row>
      <xdr:rowOff>172720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8558819-D08B-6C40-BB8E-3363299A1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62754</xdr:colOff>
      <xdr:row>67</xdr:row>
      <xdr:rowOff>37652</xdr:rowOff>
    </xdr:from>
    <xdr:to>
      <xdr:col>6</xdr:col>
      <xdr:colOff>383093</xdr:colOff>
      <xdr:row>78</xdr:row>
      <xdr:rowOff>184972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854992DC-58DA-C44A-9CFE-B487A4CD7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52</xdr:row>
      <xdr:rowOff>30480</xdr:rowOff>
    </xdr:from>
    <xdr:to>
      <xdr:col>4</xdr:col>
      <xdr:colOff>812800</xdr:colOff>
      <xdr:row>53</xdr:row>
      <xdr:rowOff>132080</xdr:rowOff>
    </xdr:to>
    <xdr:cxnSp macro="">
      <xdr:nvCxnSpPr>
        <xdr:cNvPr id="4" name="Straight Arrow Connector 2">
          <a:extLst>
            <a:ext uri="{FF2B5EF4-FFF2-40B4-BE49-F238E27FC236}">
              <a16:creationId xmlns:a16="http://schemas.microsoft.com/office/drawing/2014/main" id="{A54329CC-9784-5945-8813-AB799BDC1DED}"/>
            </a:ext>
          </a:extLst>
        </xdr:cNvPr>
        <xdr:cNvCxnSpPr/>
      </xdr:nvCxnSpPr>
      <xdr:spPr>
        <a:xfrm>
          <a:off x="3314700" y="9885680"/>
          <a:ext cx="0" cy="2921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711200" y="4635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0" name="Text Box 1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1" name="Text Box 1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711200" y="3873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711200" y="4025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2" name="Text Box 28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711200" y="44831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3B59355B-9F84-C14C-9FE8-3DBF4920DE47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7" name="Text Box 7">
          <a:extLst>
            <a:ext uri="{FF2B5EF4-FFF2-40B4-BE49-F238E27FC236}">
              <a16:creationId xmlns:a16="http://schemas.microsoft.com/office/drawing/2014/main" id="{9C637BC9-270B-4E4D-B348-C342C779009D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0476E771-09B9-4A4B-8E68-5ECAE0DB0827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EA55E819-079C-B040-BDEA-BF18420BEDC9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60448B02-4E5F-D745-B0D9-928DA490BD9E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1" name="Text Box 13">
          <a:extLst>
            <a:ext uri="{FF2B5EF4-FFF2-40B4-BE49-F238E27FC236}">
              <a16:creationId xmlns:a16="http://schemas.microsoft.com/office/drawing/2014/main" id="{18259BC1-586F-A840-BFF6-EFB1CFC8B75D}"/>
            </a:ext>
          </a:extLst>
        </xdr:cNvPr>
        <xdr:cNvSpPr txBox="1">
          <a:spLocks noChangeArrowheads="1"/>
        </xdr:cNvSpPr>
      </xdr:nvSpPr>
      <xdr:spPr bwMode="auto">
        <a:xfrm>
          <a:off x="713441" y="317915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E804B82-BC1F-4840-944C-06FFFB5F0AFA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9E3D8A7E-CC66-894C-8037-20871FD75C87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466B41FC-0981-BD4C-968C-DE994036AD05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FAF42066-0237-674C-BC28-23E55343D5F4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799D2ADF-B8C8-BA4C-9379-DAEF68458867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2D5CDA7A-0A79-E14A-9579-70373BC99F2F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1CE8CECA-4054-3D4F-9B04-066170601A07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CB7EFB88-FA53-2244-A8C0-E17DD82043DA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0" name="Text Box 16">
          <a:extLst>
            <a:ext uri="{FF2B5EF4-FFF2-40B4-BE49-F238E27FC236}">
              <a16:creationId xmlns:a16="http://schemas.microsoft.com/office/drawing/2014/main" id="{0DC08A0F-46ED-A44D-95CF-9FA6144F058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1" name="Text Box 17">
          <a:extLst>
            <a:ext uri="{FF2B5EF4-FFF2-40B4-BE49-F238E27FC236}">
              <a16:creationId xmlns:a16="http://schemas.microsoft.com/office/drawing/2014/main" id="{C70211FB-8AA4-8E43-90C0-6BBE39A4300E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BD488E03-188B-6541-8E86-0F58C982332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2A4C3EDC-837D-B947-A816-C64E010206D2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8BFB5280-2BB4-364F-88AA-F045EE2D6CBF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04F505BB-4D3F-5D46-A80A-89250A421665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5A3038C4-88C4-1A46-8581-88044FFCB0ED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576BD50C-A3E7-5B4C-9894-4D4F2C5B734B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E3D063B0-A4A5-5748-81A3-B92E17BFA5CB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F2530A6E-B618-A542-B228-43EE4542C97C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9A7995DB-A556-BC4E-B708-634896D219DD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BFD5D08F-1B0E-F647-8BDD-A689E8B7AE18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2" name="Text Box 28">
          <a:extLst>
            <a:ext uri="{FF2B5EF4-FFF2-40B4-BE49-F238E27FC236}">
              <a16:creationId xmlns:a16="http://schemas.microsoft.com/office/drawing/2014/main" id="{5ED6CB41-D8B9-664C-9F7F-5003BE05D2E1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711272DF-8094-6F4B-B212-E6B5A0F57BA4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66717E6C-F8B0-FC4E-928E-BF56AA8C64A3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0B988580-0A19-E44C-8447-99035FC33CB5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A64B30D3-E515-8940-A79F-E034C169BD51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7" name="Text Box 7">
          <a:extLst>
            <a:ext uri="{FF2B5EF4-FFF2-40B4-BE49-F238E27FC236}">
              <a16:creationId xmlns:a16="http://schemas.microsoft.com/office/drawing/2014/main" id="{DC8FF48F-F90B-D149-B17F-6B1BBC798388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B26FCD6E-EC59-D140-92FF-202F872FF775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32DDD269-1151-9F4A-BD0D-F02A865268BD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CB29E27D-189D-4A4C-BBE5-ADE9F70F311E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1" name="Text Box 13">
          <a:extLst>
            <a:ext uri="{FF2B5EF4-FFF2-40B4-BE49-F238E27FC236}">
              <a16:creationId xmlns:a16="http://schemas.microsoft.com/office/drawing/2014/main" id="{3115CC91-264A-394E-9911-7B7879DDBFA2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74B5F99-BC73-7447-B562-77120A417AD9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D74275C7-6EFF-1246-8ADD-C8DF1385CE4E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DAD0F4E2-8889-B844-80ED-6D5D1C39F3FA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5565581F-B04B-1A49-A3B4-B5FDEE064310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FE80B81E-70CB-734F-8D08-7FEB4892A0FC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EAC73C91-F6F3-0D4F-937B-C151006190B0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BEDD4566-4082-8B40-A939-524671E96266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DD820B81-2453-F24A-83B9-95FCBD9BBCE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0" name="Text Box 16">
          <a:extLst>
            <a:ext uri="{FF2B5EF4-FFF2-40B4-BE49-F238E27FC236}">
              <a16:creationId xmlns:a16="http://schemas.microsoft.com/office/drawing/2014/main" id="{C50108A8-AE51-2748-9C2E-E3B3B34CD096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1" name="Text Box 17">
          <a:extLst>
            <a:ext uri="{FF2B5EF4-FFF2-40B4-BE49-F238E27FC236}">
              <a16:creationId xmlns:a16="http://schemas.microsoft.com/office/drawing/2014/main" id="{170D5C62-49F0-964E-986E-6BF5476FF442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751D650B-C153-3A47-9712-5F12E7EA4C78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1D74DA83-6A2C-964B-99FF-6AAFEFA06A82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8BE3062C-7185-8448-9C3B-328E6416178F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E534738D-7810-F542-8C9E-C805ECB99058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92BE2051-CC20-5345-85DB-99D7F9CD5572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90020481-2F3F-A445-B859-E725E49ACAB9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3546A973-161C-B14E-9587-014C244130EB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3568EA65-C0E9-7447-AE78-0C4E6D704B86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B6057C52-018E-CE41-8E1A-41EE0D8FDF0A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6232E9C7-2B74-5E41-BE74-0E8A7DC65301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2" name="Text Box 28">
          <a:extLst>
            <a:ext uri="{FF2B5EF4-FFF2-40B4-BE49-F238E27FC236}">
              <a16:creationId xmlns:a16="http://schemas.microsoft.com/office/drawing/2014/main" id="{8AAA63B0-44C6-B742-90B6-419727CF5C89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EA67CA99-6D94-6E48-A67F-E12C3622F0CE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385FF786-14E9-4641-82A3-FD84B25047DD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6717B4B1-A382-0F4A-B2A0-8A4028ABBF4A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BE1FA7F6-6030-C84E-9551-1F224803D8FE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7" name="Text Box 7">
          <a:extLst>
            <a:ext uri="{FF2B5EF4-FFF2-40B4-BE49-F238E27FC236}">
              <a16:creationId xmlns:a16="http://schemas.microsoft.com/office/drawing/2014/main" id="{AB23DA87-8FDB-1F48-B3F6-90C8FB139CF0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6E83D1E4-7EC8-DA44-8A0E-4956ABE2993A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1F429CEC-CB6A-D94C-9E0D-E42FAA61A89C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B59C858D-9D34-7840-8C3B-9B4C25B5BD87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1" name="Text Box 13">
          <a:extLst>
            <a:ext uri="{FF2B5EF4-FFF2-40B4-BE49-F238E27FC236}">
              <a16:creationId xmlns:a16="http://schemas.microsoft.com/office/drawing/2014/main" id="{D0F1ACFD-B4D3-504E-926A-E5A29B4FD915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E54DD3D-8FDD-D64C-9CD5-58D71346542E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A46FF372-B080-2744-9167-A1EF5E8B2D10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45A6CA59-A0A2-A44D-A550-3822F6FEA715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492A9743-E7FC-A740-BD7B-E560995BB5B3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26E809F5-CDA4-A34F-AE3D-069A129E6427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19</xdr:row>
      <xdr:rowOff>0</xdr:rowOff>
    </xdr:from>
    <xdr:ext cx="76200" cy="194033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1A75B1D5-445B-1444-8657-D1CA222F81BE}"/>
            </a:ext>
          </a:extLst>
        </xdr:cNvPr>
        <xdr:cNvSpPr txBox="1">
          <a:spLocks noChangeArrowheads="1"/>
        </xdr:cNvSpPr>
      </xdr:nvSpPr>
      <xdr:spPr bwMode="auto">
        <a:xfrm>
          <a:off x="711200" y="31750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5B1D487A-A814-FE4C-867F-3DCF5EC8980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2133DB97-3BF4-174E-892C-5C525EFD286C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0" name="Text Box 16">
          <a:extLst>
            <a:ext uri="{FF2B5EF4-FFF2-40B4-BE49-F238E27FC236}">
              <a16:creationId xmlns:a16="http://schemas.microsoft.com/office/drawing/2014/main" id="{01ABE346-66D1-484E-91C8-27339633D219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1" name="Text Box 17">
          <a:extLst>
            <a:ext uri="{FF2B5EF4-FFF2-40B4-BE49-F238E27FC236}">
              <a16:creationId xmlns:a16="http://schemas.microsoft.com/office/drawing/2014/main" id="{43211188-705F-DE41-9804-CE8AE1950FD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2" name="Text Box 18">
          <a:extLst>
            <a:ext uri="{FF2B5EF4-FFF2-40B4-BE49-F238E27FC236}">
              <a16:creationId xmlns:a16="http://schemas.microsoft.com/office/drawing/2014/main" id="{77E185DD-FEDB-1142-B696-E9C1E57CE109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14</xdr:row>
      <xdr:rowOff>0</xdr:rowOff>
    </xdr:from>
    <xdr:ext cx="76200" cy="194033"/>
    <xdr:sp macro="" textlink="">
      <xdr:nvSpPr>
        <xdr:cNvPr id="13" name="Text Box 19">
          <a:extLst>
            <a:ext uri="{FF2B5EF4-FFF2-40B4-BE49-F238E27FC236}">
              <a16:creationId xmlns:a16="http://schemas.microsoft.com/office/drawing/2014/main" id="{D9C6EE60-552D-4242-B8A8-ACC9BC54761D}"/>
            </a:ext>
          </a:extLst>
        </xdr:cNvPr>
        <xdr:cNvSpPr txBox="1">
          <a:spLocks noChangeArrowheads="1"/>
        </xdr:cNvSpPr>
      </xdr:nvSpPr>
      <xdr:spPr bwMode="auto">
        <a:xfrm>
          <a:off x="711200" y="23495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02D4F97A-991F-5844-95FE-753D762CED00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1D52551E-868A-5747-951B-874D23335EE7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7CF08E05-AC2E-9A47-A1B7-E9AED8C9BC7D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38FB9382-3B66-9346-B699-A467D46109E9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2D6B8C33-48EF-ED41-BCC8-D572D5FCEEC8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15</xdr:row>
      <xdr:rowOff>0</xdr:rowOff>
    </xdr:from>
    <xdr:ext cx="76200" cy="194033"/>
    <xdr:sp macro="" textlink="">
      <xdr:nvSpPr>
        <xdr:cNvPr id="19" name="Text Box 25">
          <a:extLst>
            <a:ext uri="{FF2B5EF4-FFF2-40B4-BE49-F238E27FC236}">
              <a16:creationId xmlns:a16="http://schemas.microsoft.com/office/drawing/2014/main" id="{0C13E854-97AE-364D-81CD-2426F00BA01E}"/>
            </a:ext>
          </a:extLst>
        </xdr:cNvPr>
        <xdr:cNvSpPr txBox="1">
          <a:spLocks noChangeArrowheads="1"/>
        </xdr:cNvSpPr>
      </xdr:nvSpPr>
      <xdr:spPr bwMode="auto">
        <a:xfrm>
          <a:off x="711200" y="25146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0" name="Text Box 26">
          <a:extLst>
            <a:ext uri="{FF2B5EF4-FFF2-40B4-BE49-F238E27FC236}">
              <a16:creationId xmlns:a16="http://schemas.microsoft.com/office/drawing/2014/main" id="{9F602AAE-CA68-1F46-B77B-25476AE1308F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1" name="Text Box 27">
          <a:extLst>
            <a:ext uri="{FF2B5EF4-FFF2-40B4-BE49-F238E27FC236}">
              <a16:creationId xmlns:a16="http://schemas.microsoft.com/office/drawing/2014/main" id="{52DD115C-78E3-2641-A0B1-08E3EE5D9104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2" name="Text Box 28">
          <a:extLst>
            <a:ext uri="{FF2B5EF4-FFF2-40B4-BE49-F238E27FC236}">
              <a16:creationId xmlns:a16="http://schemas.microsoft.com/office/drawing/2014/main" id="{0777431F-D6D6-C04F-982E-1E564839E6FE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CFCE2D75-080F-6442-82CB-FD0A7D1EED36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81BCAE8B-171C-D14E-9F60-C5CA1275324C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18</xdr:row>
      <xdr:rowOff>0</xdr:rowOff>
    </xdr:from>
    <xdr:ext cx="76200" cy="194033"/>
    <xdr:sp macro="" textlink="">
      <xdr:nvSpPr>
        <xdr:cNvPr id="25" name="Text Box 31">
          <a:extLst>
            <a:ext uri="{FF2B5EF4-FFF2-40B4-BE49-F238E27FC236}">
              <a16:creationId xmlns:a16="http://schemas.microsoft.com/office/drawing/2014/main" id="{3FF1B0BE-CB36-BC4F-8A9A-053E0ACD80FC}"/>
            </a:ext>
          </a:extLst>
        </xdr:cNvPr>
        <xdr:cNvSpPr txBox="1">
          <a:spLocks noChangeArrowheads="1"/>
        </xdr:cNvSpPr>
      </xdr:nvSpPr>
      <xdr:spPr bwMode="auto">
        <a:xfrm>
          <a:off x="711200" y="30099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8A3703BA-70D9-0B4B-8146-E892F833E228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7" name="Text Box 7">
          <a:extLst>
            <a:ext uri="{FF2B5EF4-FFF2-40B4-BE49-F238E27FC236}">
              <a16:creationId xmlns:a16="http://schemas.microsoft.com/office/drawing/2014/main" id="{E9A9BB8F-7E02-884B-B084-E79AD6A60A3F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BBD137CA-5004-D140-92B3-4EEAEDC543A9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05C1FF1B-80A0-2940-8D96-1ECAE19579AA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21B14A3F-B930-9544-8ADC-2176185B85E7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  <xdr:oneCellAnchor>
    <xdr:from>
      <xdr:col>1</xdr:col>
      <xdr:colOff>190500</xdr:colOff>
      <xdr:row>21</xdr:row>
      <xdr:rowOff>0</xdr:rowOff>
    </xdr:from>
    <xdr:ext cx="76200" cy="194033"/>
    <xdr:sp macro="" textlink="">
      <xdr:nvSpPr>
        <xdr:cNvPr id="31" name="Text Box 13">
          <a:extLst>
            <a:ext uri="{FF2B5EF4-FFF2-40B4-BE49-F238E27FC236}">
              <a16:creationId xmlns:a16="http://schemas.microsoft.com/office/drawing/2014/main" id="{0C42DF10-087C-4148-A79F-49095EBFC8E4}"/>
            </a:ext>
          </a:extLst>
        </xdr:cNvPr>
        <xdr:cNvSpPr txBox="1">
          <a:spLocks noChangeArrowheads="1"/>
        </xdr:cNvSpPr>
      </xdr:nvSpPr>
      <xdr:spPr bwMode="auto">
        <a:xfrm>
          <a:off x="711200" y="3505200"/>
          <a:ext cx="76200" cy="19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7</xdr:row>
      <xdr:rowOff>10160</xdr:rowOff>
    </xdr:from>
    <xdr:to>
      <xdr:col>4</xdr:col>
      <xdr:colOff>30480</xdr:colOff>
      <xdr:row>20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7</xdr:row>
      <xdr:rowOff>10160</xdr:rowOff>
    </xdr:from>
    <xdr:to>
      <xdr:col>8</xdr:col>
      <xdr:colOff>30480</xdr:colOff>
      <xdr:row>20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26</xdr:row>
      <xdr:rowOff>0</xdr:rowOff>
    </xdr:from>
    <xdr:to>
      <xdr:col>4</xdr:col>
      <xdr:colOff>10160</xdr:colOff>
      <xdr:row>39</xdr:row>
      <xdr:rowOff>10160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edkooymans/Documents/Microsoft%20User%20Data/Saved%20Attachments/Lopende%20Projecten/Fersa%202014/Fersa%20Offertes/Calc-Fersa-2014-various-v1-ek1.xlsx" TargetMode="External"/><Relationship Id="rId1" Type="http://schemas.openxmlformats.org/officeDocument/2006/relationships/externalLinkPath" Target="/Users/edkooymans/Documents/Microsoft%20User%20Data/Saved%20Attachments/Lopende%20Projecten/Fersa%202014/Fersa%20Offertes/Calc-Fersa-2014-various-v1-e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aplan"/>
      <sheetName val="ExpoGlobal"/>
      <sheetName val="Boom"/>
      <sheetName val="Beijing Level"/>
      <sheetName val="Total 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95"/>
  <sheetViews>
    <sheetView showGridLines="0" tabSelected="1" topLeftCell="A24" zoomScale="140" zoomScaleNormal="140" zoomScalePageLayoutView="125" workbookViewId="0">
      <selection activeCell="E45" sqref="E45"/>
    </sheetView>
  </sheetViews>
  <sheetFormatPr defaultColWidth="10.875" defaultRowHeight="15"/>
  <cols>
    <col min="1" max="1" width="1.875" style="3" customWidth="1"/>
    <col min="2" max="2" width="2.375" style="3" customWidth="1"/>
    <col min="3" max="3" width="27.875" style="3" customWidth="1"/>
    <col min="4" max="4" width="0.875" style="3" customWidth="1"/>
    <col min="5" max="5" width="21.625" style="3" customWidth="1"/>
    <col min="6" max="6" width="0.875" style="3" customWidth="1"/>
    <col min="7" max="7" width="20.875" style="3" customWidth="1"/>
    <col min="8" max="8" width="0.875" style="3" customWidth="1"/>
    <col min="9" max="9" width="20.875" style="3" customWidth="1"/>
    <col min="10" max="10" width="0.875" style="3" customWidth="1"/>
    <col min="11" max="11" width="20.875" style="3" customWidth="1"/>
    <col min="12" max="12" width="6.875" style="3" customWidth="1"/>
    <col min="13" max="13" width="2.875" style="3" customWidth="1"/>
    <col min="14" max="17" width="10.875" style="3" customWidth="1"/>
    <col min="18" max="16384" width="10.875" style="3"/>
  </cols>
  <sheetData>
    <row r="1" spans="2:16" ht="11.1" customHeight="1" thickBot="1"/>
    <row r="2" spans="2:16" ht="20.100000000000001" thickBot="1">
      <c r="C2" s="2" t="s">
        <v>0</v>
      </c>
    </row>
    <row r="3" spans="2:16" ht="9.9499999999999993" customHeight="1"/>
    <row r="4" spans="2:16">
      <c r="C4" s="27" t="s">
        <v>1</v>
      </c>
      <c r="E4" s="8" t="s">
        <v>2</v>
      </c>
    </row>
    <row r="5" spans="2:16">
      <c r="C5" s="36" t="s">
        <v>3</v>
      </c>
      <c r="E5" s="11" t="s">
        <v>4</v>
      </c>
    </row>
    <row r="6" spans="2:16">
      <c r="C6" s="36" t="s">
        <v>5</v>
      </c>
      <c r="E6" s="12" t="s">
        <v>6</v>
      </c>
    </row>
    <row r="7" spans="2:16">
      <c r="C7" s="36" t="s">
        <v>7</v>
      </c>
      <c r="E7" s="12" t="s">
        <v>8</v>
      </c>
    </row>
    <row r="8" spans="2:16">
      <c r="C8" s="28" t="s">
        <v>9</v>
      </c>
      <c r="D8" s="286"/>
      <c r="E8" s="58" t="s">
        <v>10</v>
      </c>
    </row>
    <row r="9" spans="2:16">
      <c r="B9" s="3" t="s">
        <v>11</v>
      </c>
      <c r="P9" s="3" t="s">
        <v>11</v>
      </c>
    </row>
    <row r="10" spans="2:16">
      <c r="C10" s="27" t="s">
        <v>12</v>
      </c>
      <c r="E10" s="259">
        <v>0</v>
      </c>
    </row>
    <row r="11" spans="2:16">
      <c r="C11" s="36" t="s">
        <v>13</v>
      </c>
      <c r="E11" s="14" t="s">
        <v>14</v>
      </c>
    </row>
    <row r="12" spans="2:16">
      <c r="C12" s="28" t="s">
        <v>15</v>
      </c>
      <c r="E12" s="15" t="s">
        <v>14</v>
      </c>
    </row>
    <row r="14" spans="2:16">
      <c r="C14" s="27" t="s">
        <v>16</v>
      </c>
      <c r="E14" s="8" t="s">
        <v>17</v>
      </c>
    </row>
    <row r="15" spans="2:16">
      <c r="C15" s="36" t="s">
        <v>18</v>
      </c>
      <c r="E15" s="16" t="s">
        <v>17</v>
      </c>
    </row>
    <row r="16" spans="2:16">
      <c r="C16" s="36" t="s">
        <v>18</v>
      </c>
      <c r="E16" s="16" t="s">
        <v>17</v>
      </c>
    </row>
    <row r="17" spans="3:12">
      <c r="C17" s="28" t="s">
        <v>19</v>
      </c>
      <c r="E17" s="17" t="s">
        <v>17</v>
      </c>
    </row>
    <row r="19" spans="3:12">
      <c r="C19" s="59" t="s">
        <v>20</v>
      </c>
      <c r="E19" s="10">
        <v>0</v>
      </c>
      <c r="G19" s="60" t="s">
        <v>21</v>
      </c>
      <c r="I19" s="4">
        <v>0</v>
      </c>
    </row>
    <row r="20" spans="3:12">
      <c r="C20" s="9" t="s">
        <v>22</v>
      </c>
      <c r="E20" s="7">
        <v>0</v>
      </c>
      <c r="G20" s="28" t="s">
        <v>23</v>
      </c>
      <c r="I20" s="5">
        <v>0</v>
      </c>
    </row>
    <row r="21" spans="3:12">
      <c r="C21" s="9" t="s">
        <v>24</v>
      </c>
      <c r="E21" s="13" t="s">
        <v>25</v>
      </c>
      <c r="G21" s="28" t="s">
        <v>26</v>
      </c>
      <c r="I21" s="6">
        <f>I19+I20</f>
        <v>0</v>
      </c>
    </row>
    <row r="23" spans="3:12">
      <c r="C23" s="40" t="s">
        <v>27</v>
      </c>
      <c r="E23" s="41" t="s">
        <v>28</v>
      </c>
      <c r="F23" s="30"/>
      <c r="G23" s="39" t="s">
        <v>29</v>
      </c>
      <c r="H23" s="30"/>
      <c r="I23" s="41" t="s">
        <v>30</v>
      </c>
      <c r="K23" s="39" t="s">
        <v>31</v>
      </c>
    </row>
    <row r="24" spans="3:12">
      <c r="C24" s="27" t="s">
        <v>32</v>
      </c>
      <c r="E24" s="4">
        <v>0</v>
      </c>
      <c r="G24" s="33">
        <f>I24-E24</f>
        <v>0</v>
      </c>
      <c r="I24" s="21">
        <f>((E24*K24)/100)+E24</f>
        <v>0</v>
      </c>
      <c r="K24" s="25">
        <v>30</v>
      </c>
      <c r="L24" s="306" t="s">
        <v>33</v>
      </c>
    </row>
    <row r="25" spans="3:12">
      <c r="C25" s="36" t="s">
        <v>34</v>
      </c>
      <c r="E25" s="35">
        <v>0</v>
      </c>
      <c r="G25" s="32">
        <f>I25-E25</f>
        <v>0</v>
      </c>
      <c r="I25" s="21">
        <f>((E25*K25)/100)+E25</f>
        <v>0</v>
      </c>
      <c r="K25" s="26">
        <v>10</v>
      </c>
      <c r="L25" s="307" t="s">
        <v>33</v>
      </c>
    </row>
    <row r="26" spans="3:12">
      <c r="C26" s="36" t="s">
        <v>35</v>
      </c>
      <c r="E26" s="35">
        <v>0</v>
      </c>
      <c r="G26" s="32">
        <f>I26-E26</f>
        <v>0</v>
      </c>
      <c r="I26" s="21">
        <f>((E26*K26)/100)+E26</f>
        <v>0</v>
      </c>
      <c r="K26" s="26">
        <v>30</v>
      </c>
      <c r="L26" s="307" t="s">
        <v>33</v>
      </c>
    </row>
    <row r="27" spans="3:12">
      <c r="C27" s="28" t="s">
        <v>35</v>
      </c>
      <c r="E27" s="5">
        <v>0</v>
      </c>
      <c r="G27" s="34">
        <f>I27-E27</f>
        <v>0</v>
      </c>
      <c r="I27" s="21">
        <f>((E27*K27)/100)+E27</f>
        <v>0</v>
      </c>
      <c r="K27" s="309">
        <v>30</v>
      </c>
      <c r="L27" s="308" t="s">
        <v>33</v>
      </c>
    </row>
    <row r="28" spans="3:12">
      <c r="C28" s="18" t="s">
        <v>36</v>
      </c>
      <c r="E28" s="34">
        <f>SUM(E24:E27)</f>
        <v>0</v>
      </c>
      <c r="G28" s="34">
        <f>SUM(G24:G27)</f>
        <v>0</v>
      </c>
      <c r="I28" s="23">
        <f>SUM(I24:I27)</f>
        <v>0</v>
      </c>
    </row>
    <row r="29" spans="3:12">
      <c r="G29" s="38">
        <f>IFERROR(G28/I28,0)</f>
        <v>0</v>
      </c>
    </row>
    <row r="31" spans="3:12">
      <c r="G31" s="42" t="s">
        <v>37</v>
      </c>
      <c r="I31" s="23">
        <f>I21-I28</f>
        <v>0</v>
      </c>
    </row>
    <row r="33" spans="3:14">
      <c r="C33" s="284" t="s">
        <v>38</v>
      </c>
      <c r="D33" s="29"/>
      <c r="E33" s="39" t="s">
        <v>28</v>
      </c>
      <c r="F33" s="30"/>
      <c r="G33" s="39" t="s">
        <v>29</v>
      </c>
      <c r="H33" s="30"/>
      <c r="I33" s="39" t="s">
        <v>39</v>
      </c>
      <c r="J33" s="30"/>
      <c r="K33" s="41" t="s">
        <v>40</v>
      </c>
    </row>
    <row r="34" spans="3:14">
      <c r="C34" s="27" t="s">
        <v>41</v>
      </c>
      <c r="E34" s="4">
        <v>0</v>
      </c>
      <c r="G34" s="285">
        <f t="shared" ref="G34:G45" si="0">I34-E34</f>
        <v>0</v>
      </c>
      <c r="I34" s="20">
        <f t="shared" ref="I34:I44" si="1">E34*K34</f>
        <v>0</v>
      </c>
      <c r="K34" s="25">
        <v>4</v>
      </c>
      <c r="L34" s="19" t="s">
        <v>42</v>
      </c>
    </row>
    <row r="35" spans="3:14">
      <c r="C35" s="36" t="s">
        <v>43</v>
      </c>
      <c r="E35" s="35">
        <v>0</v>
      </c>
      <c r="G35" s="32">
        <f t="shared" ref="G35" si="2">I35-E35</f>
        <v>0</v>
      </c>
      <c r="I35" s="21">
        <f t="shared" ref="I35" si="3">E35*K35</f>
        <v>0</v>
      </c>
      <c r="K35" s="37">
        <v>0</v>
      </c>
      <c r="L35" s="22" t="s">
        <v>42</v>
      </c>
    </row>
    <row r="36" spans="3:14">
      <c r="C36" s="287" t="s">
        <v>44</v>
      </c>
      <c r="D36" s="24" t="s">
        <v>11</v>
      </c>
      <c r="E36" s="35">
        <v>0</v>
      </c>
      <c r="F36" s="24"/>
      <c r="G36" s="32">
        <f t="shared" ref="G36:G39" si="4">I36-E36</f>
        <v>0</v>
      </c>
      <c r="H36" s="24"/>
      <c r="I36" s="21">
        <f t="shared" ref="I36:I39" si="5">E36*K36</f>
        <v>0</v>
      </c>
      <c r="K36" s="37">
        <v>0</v>
      </c>
      <c r="L36" s="22" t="s">
        <v>42</v>
      </c>
    </row>
    <row r="37" spans="3:14">
      <c r="C37" s="287" t="s">
        <v>45</v>
      </c>
      <c r="D37" s="24"/>
      <c r="E37" s="35">
        <v>0</v>
      </c>
      <c r="G37" s="32">
        <f t="shared" si="4"/>
        <v>0</v>
      </c>
      <c r="H37" s="24"/>
      <c r="I37" s="21">
        <f t="shared" si="5"/>
        <v>0</v>
      </c>
      <c r="K37" s="37">
        <v>0</v>
      </c>
      <c r="L37" s="22" t="s">
        <v>42</v>
      </c>
    </row>
    <row r="38" spans="3:14">
      <c r="C38" s="287" t="s">
        <v>46</v>
      </c>
      <c r="D38" s="24"/>
      <c r="E38" s="35">
        <v>0</v>
      </c>
      <c r="F38" s="24"/>
      <c r="G38" s="32">
        <f t="shared" si="4"/>
        <v>0</v>
      </c>
      <c r="H38" s="24"/>
      <c r="I38" s="21">
        <f t="shared" si="5"/>
        <v>0</v>
      </c>
      <c r="K38" s="37">
        <v>0</v>
      </c>
      <c r="L38" s="22" t="s">
        <v>42</v>
      </c>
    </row>
    <row r="39" spans="3:14">
      <c r="C39" s="287" t="s">
        <v>47</v>
      </c>
      <c r="D39" s="24"/>
      <c r="E39" s="35">
        <v>0</v>
      </c>
      <c r="F39" s="24"/>
      <c r="G39" s="32">
        <f t="shared" si="4"/>
        <v>0</v>
      </c>
      <c r="H39" s="24"/>
      <c r="I39" s="21">
        <f t="shared" si="5"/>
        <v>0</v>
      </c>
      <c r="K39" s="26">
        <v>0</v>
      </c>
      <c r="L39" s="22" t="s">
        <v>42</v>
      </c>
    </row>
    <row r="40" spans="3:14">
      <c r="C40" s="36" t="s">
        <v>48</v>
      </c>
      <c r="E40" s="35">
        <v>0</v>
      </c>
      <c r="G40" s="32">
        <f t="shared" si="0"/>
        <v>0</v>
      </c>
      <c r="H40" s="24"/>
      <c r="I40" s="21">
        <f t="shared" si="1"/>
        <v>0</v>
      </c>
      <c r="K40" s="26">
        <v>0</v>
      </c>
      <c r="L40" s="22" t="s">
        <v>42</v>
      </c>
    </row>
    <row r="41" spans="3:14">
      <c r="C41" s="36" t="s">
        <v>49</v>
      </c>
      <c r="D41" s="24" t="s">
        <v>11</v>
      </c>
      <c r="E41" s="35">
        <v>0</v>
      </c>
      <c r="F41" s="24"/>
      <c r="G41" s="32">
        <f t="shared" si="0"/>
        <v>0</v>
      </c>
      <c r="H41" s="24"/>
      <c r="I41" s="21">
        <f t="shared" si="1"/>
        <v>0</v>
      </c>
      <c r="K41" s="26">
        <v>0</v>
      </c>
      <c r="L41" s="22" t="s">
        <v>42</v>
      </c>
    </row>
    <row r="42" spans="3:14">
      <c r="C42" s="36" t="s">
        <v>50</v>
      </c>
      <c r="D42" s="24" t="s">
        <v>11</v>
      </c>
      <c r="E42" s="35">
        <v>0</v>
      </c>
      <c r="F42" s="24"/>
      <c r="G42" s="32">
        <f t="shared" si="0"/>
        <v>0</v>
      </c>
      <c r="H42" s="24"/>
      <c r="I42" s="21">
        <f t="shared" si="1"/>
        <v>0</v>
      </c>
      <c r="K42" s="26">
        <v>0</v>
      </c>
      <c r="L42" s="22" t="s">
        <v>42</v>
      </c>
    </row>
    <row r="43" spans="3:14">
      <c r="C43" s="36" t="s">
        <v>50</v>
      </c>
      <c r="D43" s="24" t="s">
        <v>11</v>
      </c>
      <c r="E43" s="35">
        <v>0</v>
      </c>
      <c r="F43" s="24"/>
      <c r="G43" s="32">
        <f t="shared" si="0"/>
        <v>0</v>
      </c>
      <c r="H43" s="24"/>
      <c r="I43" s="21">
        <f t="shared" si="1"/>
        <v>0</v>
      </c>
      <c r="K43" s="26">
        <v>0</v>
      </c>
      <c r="L43" s="22" t="s">
        <v>42</v>
      </c>
    </row>
    <row r="44" spans="3:14">
      <c r="C44" s="36" t="s">
        <v>51</v>
      </c>
      <c r="D44" s="24" t="s">
        <v>11</v>
      </c>
      <c r="E44" s="35">
        <v>0</v>
      </c>
      <c r="F44" s="24"/>
      <c r="G44" s="32">
        <f t="shared" si="0"/>
        <v>0</v>
      </c>
      <c r="H44" s="24"/>
      <c r="I44" s="21">
        <f t="shared" si="1"/>
        <v>0</v>
      </c>
      <c r="K44" s="26">
        <v>0</v>
      </c>
      <c r="L44" s="22" t="s">
        <v>42</v>
      </c>
    </row>
    <row r="45" spans="3:14">
      <c r="C45" s="28" t="s">
        <v>52</v>
      </c>
      <c r="D45" s="24" t="s">
        <v>11</v>
      </c>
      <c r="E45" s="34">
        <f>'Budget show 1'!F223*0.005</f>
        <v>0</v>
      </c>
      <c r="F45" s="24"/>
      <c r="G45" s="34">
        <f t="shared" si="0"/>
        <v>0</v>
      </c>
      <c r="H45" s="24"/>
      <c r="I45" s="140"/>
      <c r="K45" s="141" t="s">
        <v>11</v>
      </c>
      <c r="L45" s="142" t="s">
        <v>11</v>
      </c>
    </row>
    <row r="46" spans="3:14">
      <c r="C46" s="18" t="s">
        <v>53</v>
      </c>
      <c r="E46" s="34">
        <f>SUM(E34:E45)</f>
        <v>0</v>
      </c>
      <c r="G46" s="34">
        <f>SUM(G34:G45)</f>
        <v>0</v>
      </c>
      <c r="I46" s="23">
        <f>SUM(I34:I45)</f>
        <v>0</v>
      </c>
    </row>
    <row r="47" spans="3:14">
      <c r="G47" s="38">
        <f>IFERROR(G46/I46,0)</f>
        <v>0</v>
      </c>
    </row>
    <row r="48" spans="3:14">
      <c r="N48" s="44" t="s">
        <v>11</v>
      </c>
    </row>
    <row r="49" spans="2:21">
      <c r="G49" s="42" t="s">
        <v>54</v>
      </c>
      <c r="I49" s="23">
        <f>I31-I46</f>
        <v>0</v>
      </c>
    </row>
    <row r="51" spans="2:21">
      <c r="E51" s="41" t="s">
        <v>28</v>
      </c>
      <c r="G51" s="39" t="s">
        <v>29</v>
      </c>
      <c r="I51" s="41" t="s">
        <v>55</v>
      </c>
      <c r="K51" s="41" t="s">
        <v>31</v>
      </c>
    </row>
    <row r="52" spans="2:21">
      <c r="C52" s="64" t="s">
        <v>56</v>
      </c>
      <c r="E52" s="55">
        <f>(I49/(100+K52)*100)</f>
        <v>0</v>
      </c>
      <c r="G52" s="45">
        <f>I52-E52</f>
        <v>0</v>
      </c>
      <c r="I52" s="23">
        <f>((100+K52)/100)*E52</f>
        <v>0</v>
      </c>
      <c r="K52" s="43">
        <v>30</v>
      </c>
      <c r="L52" s="18" t="s">
        <v>33</v>
      </c>
    </row>
    <row r="53" spans="2:21">
      <c r="G53" s="38">
        <f>IFERROR(G52/I52,0)</f>
        <v>0</v>
      </c>
      <c r="I53" s="56">
        <f>I49-I52</f>
        <v>0</v>
      </c>
    </row>
    <row r="54" spans="2:21">
      <c r="E54" s="31" t="s">
        <v>11</v>
      </c>
      <c r="I54" s="57" t="s">
        <v>57</v>
      </c>
      <c r="K54" s="31" t="s">
        <v>11</v>
      </c>
    </row>
    <row r="55" spans="2:21">
      <c r="E55" s="31"/>
      <c r="K55" s="31"/>
    </row>
    <row r="56" spans="2:21">
      <c r="E56" s="41" t="s">
        <v>28</v>
      </c>
      <c r="G56" s="39" t="s">
        <v>29</v>
      </c>
      <c r="I56" s="41" t="s">
        <v>55</v>
      </c>
      <c r="K56" s="41" t="s">
        <v>31</v>
      </c>
    </row>
    <row r="57" spans="2:21">
      <c r="C57" s="64" t="s">
        <v>58</v>
      </c>
      <c r="E57" s="145">
        <v>0</v>
      </c>
      <c r="G57" s="45">
        <f>I57-E57</f>
        <v>0</v>
      </c>
      <c r="I57" s="23">
        <f>I52</f>
        <v>0</v>
      </c>
      <c r="K57" s="43">
        <v>30</v>
      </c>
      <c r="L57" s="18" t="s">
        <v>33</v>
      </c>
    </row>
    <row r="58" spans="2:21">
      <c r="G58" s="38">
        <f>IFERROR(G57/I57,0)</f>
        <v>0</v>
      </c>
      <c r="I58" s="56">
        <f>I49-I57</f>
        <v>0</v>
      </c>
    </row>
    <row r="59" spans="2:21">
      <c r="I59" s="57" t="s">
        <v>57</v>
      </c>
    </row>
    <row r="60" spans="2:21" ht="15.95" thickBot="1"/>
    <row r="61" spans="2:21">
      <c r="B61" s="46"/>
      <c r="C61" s="47"/>
      <c r="D61" s="47"/>
      <c r="E61" s="47"/>
      <c r="F61" s="47"/>
      <c r="G61" s="47"/>
      <c r="H61" s="47"/>
      <c r="I61" s="47"/>
      <c r="J61" s="48"/>
    </row>
    <row r="62" spans="2:21">
      <c r="B62" s="49"/>
      <c r="E62" s="41" t="s">
        <v>59</v>
      </c>
      <c r="G62" s="39" t="s">
        <v>29</v>
      </c>
      <c r="I62" s="41" t="s">
        <v>60</v>
      </c>
      <c r="J62" s="50"/>
    </row>
    <row r="63" spans="2:21">
      <c r="B63" s="49"/>
      <c r="C63" s="9" t="s">
        <v>61</v>
      </c>
      <c r="E63" s="45">
        <f>E28+E46+E52</f>
        <v>0</v>
      </c>
      <c r="G63" s="45">
        <f>G28+G46+G52</f>
        <v>0</v>
      </c>
      <c r="I63" s="23">
        <f>I28+I46+I52</f>
        <v>0</v>
      </c>
      <c r="J63" s="5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2:21">
      <c r="B64" s="49"/>
      <c r="G64" s="38">
        <f>IFERROR(G63/I63,0)</f>
        <v>0</v>
      </c>
      <c r="I64" s="56">
        <f>I21-I63</f>
        <v>0</v>
      </c>
      <c r="J64" s="50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2:21">
      <c r="B65" s="49"/>
      <c r="I65" s="57" t="s">
        <v>57</v>
      </c>
      <c r="J65" s="50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2:21" ht="15.95" thickBot="1">
      <c r="B66" s="51"/>
      <c r="C66" s="52"/>
      <c r="D66" s="52"/>
      <c r="E66" s="52"/>
      <c r="F66" s="52"/>
      <c r="G66" s="52"/>
      <c r="H66" s="52"/>
      <c r="I66" s="52"/>
      <c r="J66" s="53"/>
      <c r="K66" s="61"/>
      <c r="L66" s="62" t="s">
        <v>11</v>
      </c>
      <c r="M66" s="61"/>
      <c r="N66" s="61"/>
      <c r="O66" s="61"/>
      <c r="P66" s="61"/>
      <c r="Q66" s="61"/>
      <c r="R66" s="61"/>
      <c r="S66" s="61"/>
      <c r="T66" s="61"/>
      <c r="U66" s="61"/>
    </row>
    <row r="67" spans="2:21">
      <c r="B67" s="61"/>
      <c r="C67" s="61"/>
      <c r="E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2:21">
      <c r="B68" s="61"/>
      <c r="C68" s="61"/>
      <c r="E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2:21">
      <c r="B69" s="61"/>
      <c r="C69" s="54" t="s">
        <v>62</v>
      </c>
      <c r="E69" s="63" t="e">
        <f>I19/E10</f>
        <v>#DIV/0!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2:21">
      <c r="B70" s="61"/>
      <c r="C70" s="54" t="s">
        <v>63</v>
      </c>
      <c r="E70" s="63" t="e">
        <f>E57/E10</f>
        <v>#DIV/0!</v>
      </c>
      <c r="G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2:21">
      <c r="B71" s="61"/>
      <c r="C71" s="61"/>
      <c r="E71" s="61"/>
      <c r="G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2:21">
      <c r="B72" s="61"/>
      <c r="C72" s="61"/>
      <c r="E72" s="61"/>
      <c r="G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2:21">
      <c r="B73" s="61"/>
      <c r="C73" s="61"/>
      <c r="E73" s="61"/>
      <c r="G73" s="61"/>
      <c r="I73" s="61"/>
      <c r="J73" s="61"/>
      <c r="K73" s="62" t="s">
        <v>11</v>
      </c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2:21">
      <c r="G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2:21">
      <c r="G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2:21">
      <c r="G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2:21">
      <c r="G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2:21">
      <c r="G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2:21">
      <c r="G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2:21">
      <c r="G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7:21">
      <c r="G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7:21">
      <c r="G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7:21">
      <c r="G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7:21">
      <c r="G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7:21">
      <c r="G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7:21">
      <c r="G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7:21">
      <c r="G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7:21">
      <c r="G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7:21"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7:21"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7:21"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7:21"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7:21"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7:21"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7:21"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</sheetData>
  <phoneticPr fontId="5" type="noConversion"/>
  <conditionalFormatting sqref="G64">
    <cfRule type="cellIs" dxfId="513" priority="7" operator="lessThan">
      <formula>25%</formula>
    </cfRule>
  </conditionalFormatting>
  <conditionalFormatting sqref="I53">
    <cfRule type="cellIs" dxfId="512" priority="11" stopIfTrue="1" operator="equal">
      <formula>0</formula>
    </cfRule>
    <cfRule type="cellIs" dxfId="511" priority="10" stopIfTrue="1" operator="notEqual">
      <formula>0</formula>
    </cfRule>
  </conditionalFormatting>
  <conditionalFormatting sqref="I58">
    <cfRule type="cellIs" dxfId="510" priority="3" stopIfTrue="1" operator="notEqual">
      <formula>0</formula>
    </cfRule>
    <cfRule type="cellIs" dxfId="509" priority="4" stopIfTrue="1" operator="equal">
      <formula>0</formula>
    </cfRule>
  </conditionalFormatting>
  <conditionalFormatting sqref="I64">
    <cfRule type="cellIs" dxfId="508" priority="8" stopIfTrue="1" operator="notEqual">
      <formula>0</formula>
    </cfRule>
    <cfRule type="cellIs" dxfId="507" priority="9" stopIfTrue="1" operator="equal">
      <formula>0</formula>
    </cfRule>
  </conditionalFormatting>
  <conditionalFormatting sqref="K24:K27">
    <cfRule type="cellIs" dxfId="506" priority="2" operator="notEqual">
      <formula>30</formula>
    </cfRule>
  </conditionalFormatting>
  <conditionalFormatting sqref="K34">
    <cfRule type="cellIs" dxfId="505" priority="29" operator="notEqual">
      <formula>4</formula>
    </cfRule>
  </conditionalFormatting>
  <conditionalFormatting sqref="K35:K44">
    <cfRule type="cellIs" dxfId="504" priority="6" operator="notEqual">
      <formula>0</formula>
    </cfRule>
  </conditionalFormatting>
  <conditionalFormatting sqref="K52">
    <cfRule type="cellIs" dxfId="503" priority="12" operator="notEqual">
      <formula>30</formula>
    </cfRule>
  </conditionalFormatting>
  <conditionalFormatting sqref="K57">
    <cfRule type="cellIs" dxfId="502" priority="5" operator="notEqual">
      <formula>30</formula>
    </cfRule>
  </conditionalFormatting>
  <pageMargins left="0.75000000000000011" right="0.75000000000000011" top="1" bottom="1" header="0.5" footer="0.5"/>
  <pageSetup paperSize="9" scale="52" orientation="portrait" horizontalDpi="4294967292" verticalDpi="429496729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'Dropdown content'!$D$2:$D$4</xm:f>
          </x14:formula1>
          <xm:sqref>E11</xm:sqref>
        </x14:dataValidation>
        <x14:dataValidation type="list" allowBlank="1" showInputMessage="1" showErrorMessage="1" xr:uid="{00000000-0002-0000-0000-000001000000}">
          <x14:formula1>
            <xm:f>'Dropdown content'!$D$6:$D$11</xm:f>
          </x14:formula1>
          <xm:sqref>E12</xm:sqref>
        </x14:dataValidation>
      </x14:dataValidations>
    </ex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09BD-F225-AE43-BB1B-3757CEE5B4CF}">
  <sheetPr>
    <pageSetUpPr fitToPage="1"/>
  </sheetPr>
  <dimension ref="B1:U95"/>
  <sheetViews>
    <sheetView showGridLines="0" topLeftCell="A20" zoomScale="140" zoomScaleNormal="140" zoomScalePageLayoutView="125" workbookViewId="0">
      <selection activeCell="E35" sqref="E35"/>
    </sheetView>
  </sheetViews>
  <sheetFormatPr defaultColWidth="10.875" defaultRowHeight="15"/>
  <cols>
    <col min="1" max="1" width="1.875" style="3" customWidth="1"/>
    <col min="2" max="2" width="2.375" style="3" customWidth="1"/>
    <col min="3" max="3" width="27.875" style="3" customWidth="1"/>
    <col min="4" max="4" width="0.875" style="3" customWidth="1"/>
    <col min="5" max="5" width="21.625" style="3" customWidth="1"/>
    <col min="6" max="6" width="0.875" style="3" customWidth="1"/>
    <col min="7" max="7" width="20.875" style="3" customWidth="1"/>
    <col min="8" max="8" width="0.875" style="3" customWidth="1"/>
    <col min="9" max="9" width="20.875" style="3" customWidth="1"/>
    <col min="10" max="10" width="0.875" style="3" customWidth="1"/>
    <col min="11" max="11" width="20.875" style="3" customWidth="1"/>
    <col min="12" max="12" width="6.875" style="3" customWidth="1"/>
    <col min="13" max="13" width="2.875" style="3" customWidth="1"/>
    <col min="14" max="17" width="10.875" style="3" customWidth="1"/>
    <col min="18" max="16384" width="10.875" style="3"/>
  </cols>
  <sheetData>
    <row r="1" spans="2:16" ht="11.1" customHeight="1" thickBot="1"/>
    <row r="2" spans="2:16" ht="20.100000000000001" thickBot="1">
      <c r="C2" s="2" t="s">
        <v>0</v>
      </c>
    </row>
    <row r="3" spans="2:16" ht="9.9499999999999993" customHeight="1"/>
    <row r="4" spans="2:16">
      <c r="C4" s="27" t="s">
        <v>1</v>
      </c>
      <c r="E4" s="8" t="s">
        <v>64</v>
      </c>
    </row>
    <row r="5" spans="2:16">
      <c r="C5" s="36" t="s">
        <v>3</v>
      </c>
      <c r="E5" s="11" t="s">
        <v>4</v>
      </c>
    </row>
    <row r="6" spans="2:16">
      <c r="C6" s="36" t="s">
        <v>5</v>
      </c>
      <c r="E6" s="12" t="s">
        <v>6</v>
      </c>
    </row>
    <row r="7" spans="2:16">
      <c r="C7" s="36" t="s">
        <v>7</v>
      </c>
      <c r="E7" s="12" t="s">
        <v>8</v>
      </c>
    </row>
    <row r="8" spans="2:16">
      <c r="C8" s="28" t="s">
        <v>9</v>
      </c>
      <c r="D8" s="286"/>
      <c r="E8" s="58" t="s">
        <v>10</v>
      </c>
    </row>
    <row r="9" spans="2:16">
      <c r="B9" s="3" t="s">
        <v>11</v>
      </c>
      <c r="P9" s="3" t="s">
        <v>11</v>
      </c>
    </row>
    <row r="10" spans="2:16">
      <c r="C10" s="27" t="s">
        <v>12</v>
      </c>
      <c r="E10" s="259">
        <v>0</v>
      </c>
    </row>
    <row r="11" spans="2:16">
      <c r="C11" s="36" t="s">
        <v>13</v>
      </c>
      <c r="E11" s="14" t="s">
        <v>14</v>
      </c>
    </row>
    <row r="12" spans="2:16">
      <c r="C12" s="28" t="s">
        <v>15</v>
      </c>
      <c r="E12" s="15" t="s">
        <v>14</v>
      </c>
    </row>
    <row r="14" spans="2:16">
      <c r="C14" s="27" t="s">
        <v>16</v>
      </c>
      <c r="E14" s="8" t="s">
        <v>17</v>
      </c>
    </row>
    <row r="15" spans="2:16">
      <c r="C15" s="36" t="s">
        <v>18</v>
      </c>
      <c r="E15" s="16" t="s">
        <v>17</v>
      </c>
    </row>
    <row r="16" spans="2:16">
      <c r="C16" s="36" t="s">
        <v>18</v>
      </c>
      <c r="E16" s="16" t="s">
        <v>17</v>
      </c>
    </row>
    <row r="17" spans="3:12">
      <c r="C17" s="28" t="s">
        <v>19</v>
      </c>
      <c r="E17" s="17" t="s">
        <v>17</v>
      </c>
    </row>
    <row r="19" spans="3:12">
      <c r="C19" s="59" t="s">
        <v>20</v>
      </c>
      <c r="E19" s="10">
        <v>0</v>
      </c>
      <c r="G19" s="60" t="s">
        <v>21</v>
      </c>
      <c r="I19" s="4">
        <v>0</v>
      </c>
    </row>
    <row r="20" spans="3:12">
      <c r="C20" s="9" t="s">
        <v>22</v>
      </c>
      <c r="E20" s="7">
        <v>0</v>
      </c>
      <c r="G20" s="28" t="s">
        <v>23</v>
      </c>
      <c r="I20" s="5">
        <v>0</v>
      </c>
    </row>
    <row r="21" spans="3:12">
      <c r="C21" s="9" t="s">
        <v>24</v>
      </c>
      <c r="E21" s="13" t="s">
        <v>25</v>
      </c>
      <c r="G21" s="28" t="s">
        <v>26</v>
      </c>
      <c r="I21" s="6">
        <f>I19+I20</f>
        <v>0</v>
      </c>
    </row>
    <row r="23" spans="3:12">
      <c r="C23" s="40" t="s">
        <v>27</v>
      </c>
      <c r="E23" s="41" t="s">
        <v>28</v>
      </c>
      <c r="F23" s="30"/>
      <c r="G23" s="39" t="s">
        <v>29</v>
      </c>
      <c r="H23" s="30"/>
      <c r="I23" s="41" t="s">
        <v>30</v>
      </c>
      <c r="K23" s="39" t="s">
        <v>31</v>
      </c>
    </row>
    <row r="24" spans="3:12">
      <c r="C24" s="27" t="s">
        <v>32</v>
      </c>
      <c r="E24" s="4">
        <v>0</v>
      </c>
      <c r="G24" s="33">
        <f>I24-E24</f>
        <v>0</v>
      </c>
      <c r="I24" s="21">
        <f>((E24*K24)/100)+E24</f>
        <v>0</v>
      </c>
      <c r="K24" s="25">
        <v>30</v>
      </c>
      <c r="L24" s="306" t="s">
        <v>33</v>
      </c>
    </row>
    <row r="25" spans="3:12">
      <c r="C25" s="36" t="s">
        <v>34</v>
      </c>
      <c r="E25" s="35">
        <v>0</v>
      </c>
      <c r="G25" s="32">
        <f>I25-E25</f>
        <v>0</v>
      </c>
      <c r="I25" s="21">
        <f>((E25*K25)/100)+E25</f>
        <v>0</v>
      </c>
      <c r="K25" s="26">
        <v>10</v>
      </c>
      <c r="L25" s="307" t="s">
        <v>33</v>
      </c>
    </row>
    <row r="26" spans="3:12">
      <c r="C26" s="36" t="s">
        <v>35</v>
      </c>
      <c r="E26" s="35">
        <v>0</v>
      </c>
      <c r="G26" s="32">
        <f>I26-E26</f>
        <v>0</v>
      </c>
      <c r="I26" s="21">
        <f>((E26*K26)/100)+E26</f>
        <v>0</v>
      </c>
      <c r="K26" s="26">
        <v>30</v>
      </c>
      <c r="L26" s="307" t="s">
        <v>33</v>
      </c>
    </row>
    <row r="27" spans="3:12">
      <c r="C27" s="28" t="s">
        <v>35</v>
      </c>
      <c r="E27" s="5">
        <v>0</v>
      </c>
      <c r="G27" s="34">
        <f>I27-E27</f>
        <v>0</v>
      </c>
      <c r="I27" s="21">
        <f>((E27*K27)/100)+E27</f>
        <v>0</v>
      </c>
      <c r="K27" s="309">
        <v>30</v>
      </c>
      <c r="L27" s="308" t="s">
        <v>33</v>
      </c>
    </row>
    <row r="28" spans="3:12">
      <c r="C28" s="18" t="s">
        <v>36</v>
      </c>
      <c r="E28" s="34">
        <f>SUM(E24:E27)</f>
        <v>0</v>
      </c>
      <c r="G28" s="34">
        <f>SUM(G24:G27)</f>
        <v>0</v>
      </c>
      <c r="I28" s="23">
        <f>SUM(I24:I27)</f>
        <v>0</v>
      </c>
    </row>
    <row r="29" spans="3:12">
      <c r="G29" s="38">
        <f>IFERROR(G28/I28,0)</f>
        <v>0</v>
      </c>
    </row>
    <row r="31" spans="3:12">
      <c r="G31" s="42" t="s">
        <v>37</v>
      </c>
      <c r="I31" s="23">
        <f>I21-I28</f>
        <v>0</v>
      </c>
    </row>
    <row r="33" spans="3:14">
      <c r="C33" s="284" t="s">
        <v>38</v>
      </c>
      <c r="D33" s="29"/>
      <c r="E33" s="39" t="s">
        <v>28</v>
      </c>
      <c r="F33" s="30"/>
      <c r="G33" s="39" t="s">
        <v>29</v>
      </c>
      <c r="H33" s="30"/>
      <c r="I33" s="39" t="s">
        <v>39</v>
      </c>
      <c r="J33" s="30"/>
      <c r="K33" s="41" t="s">
        <v>40</v>
      </c>
    </row>
    <row r="34" spans="3:14">
      <c r="C34" s="27" t="s">
        <v>41</v>
      </c>
      <c r="E34" s="4">
        <v>0</v>
      </c>
      <c r="G34" s="285">
        <f t="shared" ref="G34:G45" si="0">I34-E34</f>
        <v>0</v>
      </c>
      <c r="I34" s="20">
        <f t="shared" ref="I34:I44" si="1">E34*K34</f>
        <v>0</v>
      </c>
      <c r="K34" s="25">
        <v>4</v>
      </c>
      <c r="L34" s="19" t="s">
        <v>42</v>
      </c>
    </row>
    <row r="35" spans="3:14">
      <c r="C35" s="36" t="s">
        <v>43</v>
      </c>
      <c r="E35" s="35">
        <v>0</v>
      </c>
      <c r="G35" s="32">
        <f t="shared" si="0"/>
        <v>0</v>
      </c>
      <c r="I35" s="21">
        <f t="shared" si="1"/>
        <v>0</v>
      </c>
      <c r="K35" s="37">
        <v>0</v>
      </c>
      <c r="L35" s="22" t="s">
        <v>42</v>
      </c>
    </row>
    <row r="36" spans="3:14">
      <c r="C36" s="287" t="s">
        <v>44</v>
      </c>
      <c r="D36" s="24" t="s">
        <v>11</v>
      </c>
      <c r="E36" s="35">
        <v>0</v>
      </c>
      <c r="F36" s="24"/>
      <c r="G36" s="32">
        <f t="shared" si="0"/>
        <v>0</v>
      </c>
      <c r="H36" s="24"/>
      <c r="I36" s="21">
        <f t="shared" si="1"/>
        <v>0</v>
      </c>
      <c r="K36" s="37">
        <v>0</v>
      </c>
      <c r="L36" s="22" t="s">
        <v>42</v>
      </c>
    </row>
    <row r="37" spans="3:14">
      <c r="C37" s="287" t="s">
        <v>45</v>
      </c>
      <c r="D37" s="24"/>
      <c r="E37" s="35">
        <v>0</v>
      </c>
      <c r="G37" s="32">
        <f t="shared" si="0"/>
        <v>0</v>
      </c>
      <c r="H37" s="24"/>
      <c r="I37" s="21">
        <f t="shared" si="1"/>
        <v>0</v>
      </c>
      <c r="K37" s="37">
        <v>0</v>
      </c>
      <c r="L37" s="22" t="s">
        <v>42</v>
      </c>
    </row>
    <row r="38" spans="3:14">
      <c r="C38" s="287" t="s">
        <v>46</v>
      </c>
      <c r="D38" s="24"/>
      <c r="E38" s="35">
        <v>0</v>
      </c>
      <c r="F38" s="24"/>
      <c r="G38" s="32">
        <f t="shared" si="0"/>
        <v>0</v>
      </c>
      <c r="H38" s="24"/>
      <c r="I38" s="21">
        <f t="shared" si="1"/>
        <v>0</v>
      </c>
      <c r="K38" s="37">
        <v>0</v>
      </c>
      <c r="L38" s="22" t="s">
        <v>42</v>
      </c>
    </row>
    <row r="39" spans="3:14">
      <c r="C39" s="287" t="s">
        <v>47</v>
      </c>
      <c r="D39" s="24"/>
      <c r="E39" s="35">
        <v>0</v>
      </c>
      <c r="F39" s="24"/>
      <c r="G39" s="32">
        <f t="shared" si="0"/>
        <v>0</v>
      </c>
      <c r="H39" s="24"/>
      <c r="I39" s="21">
        <f t="shared" si="1"/>
        <v>0</v>
      </c>
      <c r="K39" s="26">
        <v>0</v>
      </c>
      <c r="L39" s="22" t="s">
        <v>42</v>
      </c>
    </row>
    <row r="40" spans="3:14">
      <c r="C40" s="36" t="s">
        <v>48</v>
      </c>
      <c r="E40" s="35">
        <v>0</v>
      </c>
      <c r="G40" s="32">
        <f t="shared" si="0"/>
        <v>0</v>
      </c>
      <c r="H40" s="24"/>
      <c r="I40" s="21">
        <f t="shared" si="1"/>
        <v>0</v>
      </c>
      <c r="K40" s="26">
        <v>0</v>
      </c>
      <c r="L40" s="22" t="s">
        <v>42</v>
      </c>
    </row>
    <row r="41" spans="3:14">
      <c r="C41" s="36" t="s">
        <v>49</v>
      </c>
      <c r="D41" s="24" t="s">
        <v>11</v>
      </c>
      <c r="E41" s="35">
        <v>0</v>
      </c>
      <c r="F41" s="24"/>
      <c r="G41" s="32">
        <f t="shared" si="0"/>
        <v>0</v>
      </c>
      <c r="H41" s="24"/>
      <c r="I41" s="21">
        <f t="shared" si="1"/>
        <v>0</v>
      </c>
      <c r="K41" s="26">
        <v>0</v>
      </c>
      <c r="L41" s="22" t="s">
        <v>42</v>
      </c>
    </row>
    <row r="42" spans="3:14">
      <c r="C42" s="36" t="s">
        <v>50</v>
      </c>
      <c r="D42" s="24" t="s">
        <v>11</v>
      </c>
      <c r="E42" s="35">
        <v>0</v>
      </c>
      <c r="F42" s="24"/>
      <c r="G42" s="32">
        <f t="shared" si="0"/>
        <v>0</v>
      </c>
      <c r="H42" s="24"/>
      <c r="I42" s="21">
        <f t="shared" si="1"/>
        <v>0</v>
      </c>
      <c r="K42" s="26">
        <v>0</v>
      </c>
      <c r="L42" s="22" t="s">
        <v>42</v>
      </c>
    </row>
    <row r="43" spans="3:14">
      <c r="C43" s="36" t="s">
        <v>50</v>
      </c>
      <c r="D43" s="24" t="s">
        <v>11</v>
      </c>
      <c r="E43" s="35">
        <v>0</v>
      </c>
      <c r="F43" s="24"/>
      <c r="G43" s="32">
        <f t="shared" si="0"/>
        <v>0</v>
      </c>
      <c r="H43" s="24"/>
      <c r="I43" s="21">
        <f t="shared" si="1"/>
        <v>0</v>
      </c>
      <c r="K43" s="26">
        <v>0</v>
      </c>
      <c r="L43" s="22" t="s">
        <v>42</v>
      </c>
    </row>
    <row r="44" spans="3:14">
      <c r="C44" s="36" t="s">
        <v>51</v>
      </c>
      <c r="D44" s="24" t="s">
        <v>11</v>
      </c>
      <c r="E44" s="35">
        <v>0</v>
      </c>
      <c r="F44" s="24"/>
      <c r="G44" s="32">
        <f t="shared" si="0"/>
        <v>0</v>
      </c>
      <c r="H44" s="24"/>
      <c r="I44" s="21">
        <f t="shared" si="1"/>
        <v>0</v>
      </c>
      <c r="K44" s="26">
        <v>0</v>
      </c>
      <c r="L44" s="22" t="s">
        <v>42</v>
      </c>
    </row>
    <row r="45" spans="3:14">
      <c r="C45" s="28" t="s">
        <v>52</v>
      </c>
      <c r="D45" s="24" t="s">
        <v>11</v>
      </c>
      <c r="E45" s="34">
        <f>'Budget show 2'!F223*0.005</f>
        <v>0</v>
      </c>
      <c r="F45" s="24"/>
      <c r="G45" s="34">
        <f t="shared" si="0"/>
        <v>0</v>
      </c>
      <c r="H45" s="24"/>
      <c r="I45" s="140"/>
      <c r="K45" s="141" t="s">
        <v>11</v>
      </c>
      <c r="L45" s="142" t="s">
        <v>11</v>
      </c>
    </row>
    <row r="46" spans="3:14">
      <c r="C46" s="18" t="s">
        <v>53</v>
      </c>
      <c r="E46" s="34">
        <f>SUM(E34:E45)</f>
        <v>0</v>
      </c>
      <c r="G46" s="34">
        <f>SUM(G34:G45)</f>
        <v>0</v>
      </c>
      <c r="I46" s="23">
        <f>SUM(I34:I45)</f>
        <v>0</v>
      </c>
    </row>
    <row r="47" spans="3:14">
      <c r="G47" s="38">
        <f>IFERROR(G46/I46,0)</f>
        <v>0</v>
      </c>
    </row>
    <row r="48" spans="3:14">
      <c r="N48" s="44" t="s">
        <v>11</v>
      </c>
    </row>
    <row r="49" spans="2:21">
      <c r="G49" s="42" t="s">
        <v>54</v>
      </c>
      <c r="I49" s="23">
        <f>I31-I46</f>
        <v>0</v>
      </c>
    </row>
    <row r="51" spans="2:21">
      <c r="E51" s="41" t="s">
        <v>28</v>
      </c>
      <c r="G51" s="39" t="s">
        <v>29</v>
      </c>
      <c r="I51" s="41" t="s">
        <v>55</v>
      </c>
      <c r="K51" s="41" t="s">
        <v>31</v>
      </c>
    </row>
    <row r="52" spans="2:21">
      <c r="C52" s="64" t="s">
        <v>56</v>
      </c>
      <c r="E52" s="55">
        <f>(I49/(100+K52)*100)</f>
        <v>0</v>
      </c>
      <c r="G52" s="45">
        <f>I52-E52</f>
        <v>0</v>
      </c>
      <c r="I52" s="23">
        <f>((100+K52)/100)*E52</f>
        <v>0</v>
      </c>
      <c r="K52" s="43">
        <v>30</v>
      </c>
      <c r="L52" s="18" t="s">
        <v>33</v>
      </c>
    </row>
    <row r="53" spans="2:21">
      <c r="G53" s="38">
        <f>IFERROR(G52/I52,0)</f>
        <v>0</v>
      </c>
      <c r="I53" s="56">
        <f>I49-I52</f>
        <v>0</v>
      </c>
    </row>
    <row r="54" spans="2:21">
      <c r="E54" s="31" t="s">
        <v>11</v>
      </c>
      <c r="I54" s="57" t="s">
        <v>57</v>
      </c>
      <c r="K54" s="31" t="s">
        <v>11</v>
      </c>
    </row>
    <row r="55" spans="2:21">
      <c r="E55" s="31"/>
      <c r="K55" s="31"/>
    </row>
    <row r="56" spans="2:21">
      <c r="E56" s="41" t="s">
        <v>28</v>
      </c>
      <c r="G56" s="39" t="s">
        <v>29</v>
      </c>
      <c r="I56" s="41" t="s">
        <v>55</v>
      </c>
      <c r="K56" s="41" t="s">
        <v>31</v>
      </c>
    </row>
    <row r="57" spans="2:21">
      <c r="C57" s="64" t="s">
        <v>58</v>
      </c>
      <c r="E57" s="145">
        <v>0</v>
      </c>
      <c r="G57" s="45">
        <f>I57-E57</f>
        <v>0</v>
      </c>
      <c r="I57" s="23">
        <f>I52</f>
        <v>0</v>
      </c>
      <c r="K57" s="43">
        <v>30</v>
      </c>
      <c r="L57" s="18" t="s">
        <v>33</v>
      </c>
    </row>
    <row r="58" spans="2:21">
      <c r="G58" s="38">
        <f>IFERROR(G57/I57,0)</f>
        <v>0</v>
      </c>
      <c r="I58" s="56">
        <f>I49-I57</f>
        <v>0</v>
      </c>
    </row>
    <row r="59" spans="2:21">
      <c r="I59" s="57" t="s">
        <v>57</v>
      </c>
    </row>
    <row r="60" spans="2:21" ht="15.95" thickBot="1"/>
    <row r="61" spans="2:21">
      <c r="B61" s="46"/>
      <c r="C61" s="47"/>
      <c r="D61" s="47"/>
      <c r="E61" s="47"/>
      <c r="F61" s="47"/>
      <c r="G61" s="47"/>
      <c r="H61" s="47"/>
      <c r="I61" s="47"/>
      <c r="J61" s="48"/>
    </row>
    <row r="62" spans="2:21">
      <c r="B62" s="49"/>
      <c r="E62" s="41" t="s">
        <v>59</v>
      </c>
      <c r="G62" s="39" t="s">
        <v>29</v>
      </c>
      <c r="I62" s="41" t="s">
        <v>60</v>
      </c>
      <c r="J62" s="50"/>
    </row>
    <row r="63" spans="2:21">
      <c r="B63" s="49"/>
      <c r="C63" s="9" t="s">
        <v>61</v>
      </c>
      <c r="E63" s="45">
        <f>E28+E46+E52</f>
        <v>0</v>
      </c>
      <c r="G63" s="45">
        <f>G28+G46+G52</f>
        <v>0</v>
      </c>
      <c r="I63" s="23">
        <f>I28+I46+I52</f>
        <v>0</v>
      </c>
      <c r="J63" s="5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2:21">
      <c r="B64" s="49"/>
      <c r="G64" s="38">
        <f>IFERROR(G63/I63,0)</f>
        <v>0</v>
      </c>
      <c r="I64" s="56">
        <f>I21-I63</f>
        <v>0</v>
      </c>
      <c r="J64" s="50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2:21">
      <c r="B65" s="49"/>
      <c r="I65" s="57" t="s">
        <v>57</v>
      </c>
      <c r="J65" s="50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2:21" ht="15.95" thickBot="1">
      <c r="B66" s="51"/>
      <c r="C66" s="52"/>
      <c r="D66" s="52"/>
      <c r="E66" s="52"/>
      <c r="F66" s="52"/>
      <c r="G66" s="52"/>
      <c r="H66" s="52"/>
      <c r="I66" s="52"/>
      <c r="J66" s="53"/>
      <c r="K66" s="61"/>
      <c r="L66" s="62" t="s">
        <v>11</v>
      </c>
      <c r="M66" s="61"/>
      <c r="N66" s="61"/>
      <c r="O66" s="61"/>
      <c r="P66" s="61"/>
      <c r="Q66" s="61"/>
      <c r="R66" s="61"/>
      <c r="S66" s="61"/>
      <c r="T66" s="61"/>
      <c r="U66" s="61"/>
    </row>
    <row r="67" spans="2:21">
      <c r="B67" s="61"/>
      <c r="C67" s="61"/>
      <c r="E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2:21">
      <c r="B68" s="61"/>
      <c r="C68" s="61"/>
      <c r="E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2:21">
      <c r="B69" s="61"/>
      <c r="C69" s="54" t="s">
        <v>62</v>
      </c>
      <c r="E69" s="63" t="e">
        <f>I19/E10</f>
        <v>#DIV/0!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2:21">
      <c r="B70" s="61"/>
      <c r="C70" s="54" t="s">
        <v>63</v>
      </c>
      <c r="E70" s="63" t="e">
        <f>E57/E10</f>
        <v>#DIV/0!</v>
      </c>
      <c r="G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2:21">
      <c r="B71" s="61"/>
      <c r="C71" s="61"/>
      <c r="E71" s="61"/>
      <c r="G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2:21">
      <c r="B72" s="61"/>
      <c r="C72" s="61"/>
      <c r="E72" s="61"/>
      <c r="G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2:21">
      <c r="B73" s="61"/>
      <c r="C73" s="61"/>
      <c r="E73" s="61"/>
      <c r="G73" s="61"/>
      <c r="I73" s="61"/>
      <c r="J73" s="61"/>
      <c r="K73" s="62" t="s">
        <v>11</v>
      </c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2:21">
      <c r="G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2:21">
      <c r="G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2:21">
      <c r="G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2:21">
      <c r="G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2:21">
      <c r="G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2:21">
      <c r="G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2:21">
      <c r="G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7:21">
      <c r="G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7:21">
      <c r="G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7:21">
      <c r="G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7:21">
      <c r="G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7:21">
      <c r="G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7:21">
      <c r="G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7:21">
      <c r="G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7:21">
      <c r="G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7:21"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7:21"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7:21"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7:21"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7:21"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7:21"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7:21"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</sheetData>
  <conditionalFormatting sqref="G64">
    <cfRule type="cellIs" dxfId="501" priority="6" operator="lessThan">
      <formula>25%</formula>
    </cfRule>
  </conditionalFormatting>
  <conditionalFormatting sqref="I53">
    <cfRule type="cellIs" dxfId="500" priority="10" stopIfTrue="1" operator="equal">
      <formula>0</formula>
    </cfRule>
    <cfRule type="cellIs" dxfId="499" priority="9" stopIfTrue="1" operator="notEqual">
      <formula>0</formula>
    </cfRule>
  </conditionalFormatting>
  <conditionalFormatting sqref="I58">
    <cfRule type="cellIs" dxfId="498" priority="2" stopIfTrue="1" operator="notEqual">
      <formula>0</formula>
    </cfRule>
    <cfRule type="cellIs" dxfId="497" priority="3" stopIfTrue="1" operator="equal">
      <formula>0</formula>
    </cfRule>
  </conditionalFormatting>
  <conditionalFormatting sqref="I64">
    <cfRule type="cellIs" dxfId="496" priority="7" stopIfTrue="1" operator="notEqual">
      <formula>0</formula>
    </cfRule>
    <cfRule type="cellIs" dxfId="495" priority="8" stopIfTrue="1" operator="equal">
      <formula>0</formula>
    </cfRule>
  </conditionalFormatting>
  <conditionalFormatting sqref="K24:K27">
    <cfRule type="cellIs" dxfId="494" priority="1" operator="notEqual">
      <formula>30</formula>
    </cfRule>
  </conditionalFormatting>
  <conditionalFormatting sqref="K34">
    <cfRule type="cellIs" dxfId="493" priority="12" operator="notEqual">
      <formula>4</formula>
    </cfRule>
  </conditionalFormatting>
  <conditionalFormatting sqref="K35:K44">
    <cfRule type="cellIs" dxfId="492" priority="5" operator="notEqual">
      <formula>0</formula>
    </cfRule>
  </conditionalFormatting>
  <conditionalFormatting sqref="K52">
    <cfRule type="cellIs" dxfId="491" priority="11" operator="notEqual">
      <formula>30</formula>
    </cfRule>
  </conditionalFormatting>
  <conditionalFormatting sqref="K57">
    <cfRule type="cellIs" dxfId="490" priority="4" operator="notEqual">
      <formula>30</formula>
    </cfRule>
  </conditionalFormatting>
  <pageMargins left="0.75000000000000011" right="0.75000000000000011" top="1" bottom="1" header="0.5" footer="0.5"/>
  <pageSetup paperSize="9" scale="52" orientation="portrait" horizontalDpi="4294967292" verticalDpi="429496729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DAA2B8-FD68-344E-B3B4-4EA53F382B41}">
          <x14:formula1>
            <xm:f>'Dropdown content'!$D$6:$D$11</xm:f>
          </x14:formula1>
          <xm:sqref>E12</xm:sqref>
        </x14:dataValidation>
        <x14:dataValidation type="list" allowBlank="1" showInputMessage="1" showErrorMessage="1" xr:uid="{4B7C1756-AD9F-DB44-85A5-6B85B3924BA8}">
          <x14:formula1>
            <xm:f>'Dropdown content'!$D$2:$D$4</xm:f>
          </x14:formula1>
          <xm:sqref>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11AC-89BB-A349-9C37-235BF9500B97}">
  <sheetPr>
    <pageSetUpPr fitToPage="1"/>
  </sheetPr>
  <dimension ref="B1:U95"/>
  <sheetViews>
    <sheetView showGridLines="0" topLeftCell="A15" zoomScale="140" zoomScaleNormal="140" zoomScalePageLayoutView="125" workbookViewId="0">
      <selection activeCell="E4" sqref="E4"/>
    </sheetView>
  </sheetViews>
  <sheetFormatPr defaultColWidth="10.875" defaultRowHeight="15"/>
  <cols>
    <col min="1" max="1" width="1.875" style="3" customWidth="1"/>
    <col min="2" max="2" width="2.375" style="3" customWidth="1"/>
    <col min="3" max="3" width="27.875" style="3" customWidth="1"/>
    <col min="4" max="4" width="0.875" style="3" customWidth="1"/>
    <col min="5" max="5" width="21.625" style="3" customWidth="1"/>
    <col min="6" max="6" width="0.875" style="3" customWidth="1"/>
    <col min="7" max="7" width="20.875" style="3" customWidth="1"/>
    <col min="8" max="8" width="0.875" style="3" customWidth="1"/>
    <col min="9" max="9" width="20.875" style="3" customWidth="1"/>
    <col min="10" max="10" width="0.875" style="3" customWidth="1"/>
    <col min="11" max="11" width="20.875" style="3" customWidth="1"/>
    <col min="12" max="12" width="6.875" style="3" customWidth="1"/>
    <col min="13" max="13" width="2.875" style="3" customWidth="1"/>
    <col min="14" max="17" width="10.875" style="3" customWidth="1"/>
    <col min="18" max="16384" width="10.875" style="3"/>
  </cols>
  <sheetData>
    <row r="1" spans="2:16" ht="11.1" customHeight="1" thickBot="1"/>
    <row r="2" spans="2:16" ht="20.100000000000001" thickBot="1">
      <c r="C2" s="2" t="s">
        <v>0</v>
      </c>
    </row>
    <row r="3" spans="2:16" ht="9.9499999999999993" customHeight="1"/>
    <row r="4" spans="2:16">
      <c r="C4" s="27" t="s">
        <v>1</v>
      </c>
      <c r="E4" s="8" t="s">
        <v>64</v>
      </c>
    </row>
    <row r="5" spans="2:16">
      <c r="C5" s="36" t="s">
        <v>3</v>
      </c>
      <c r="E5" s="11" t="s">
        <v>4</v>
      </c>
    </row>
    <row r="6" spans="2:16">
      <c r="C6" s="36" t="s">
        <v>5</v>
      </c>
      <c r="E6" s="12" t="s">
        <v>6</v>
      </c>
    </row>
    <row r="7" spans="2:16">
      <c r="C7" s="36" t="s">
        <v>7</v>
      </c>
      <c r="E7" s="12" t="s">
        <v>8</v>
      </c>
    </row>
    <row r="8" spans="2:16">
      <c r="C8" s="28" t="s">
        <v>9</v>
      </c>
      <c r="D8" s="286"/>
      <c r="E8" s="58" t="s">
        <v>10</v>
      </c>
    </row>
    <row r="9" spans="2:16">
      <c r="B9" s="3" t="s">
        <v>11</v>
      </c>
      <c r="P9" s="3" t="s">
        <v>11</v>
      </c>
    </row>
    <row r="10" spans="2:16">
      <c r="C10" s="27" t="s">
        <v>12</v>
      </c>
      <c r="E10" s="259">
        <v>0</v>
      </c>
    </row>
    <row r="11" spans="2:16">
      <c r="C11" s="36" t="s">
        <v>13</v>
      </c>
      <c r="E11" s="14" t="s">
        <v>14</v>
      </c>
    </row>
    <row r="12" spans="2:16">
      <c r="C12" s="28" t="s">
        <v>15</v>
      </c>
      <c r="E12" s="15" t="s">
        <v>14</v>
      </c>
    </row>
    <row r="14" spans="2:16">
      <c r="C14" s="27" t="s">
        <v>16</v>
      </c>
      <c r="E14" s="8" t="s">
        <v>17</v>
      </c>
    </row>
    <row r="15" spans="2:16">
      <c r="C15" s="36" t="s">
        <v>18</v>
      </c>
      <c r="E15" s="16" t="s">
        <v>17</v>
      </c>
    </row>
    <row r="16" spans="2:16">
      <c r="C16" s="36" t="s">
        <v>18</v>
      </c>
      <c r="E16" s="16" t="s">
        <v>17</v>
      </c>
    </row>
    <row r="17" spans="3:12">
      <c r="C17" s="28" t="s">
        <v>19</v>
      </c>
      <c r="E17" s="17" t="s">
        <v>17</v>
      </c>
    </row>
    <row r="19" spans="3:12">
      <c r="C19" s="59" t="s">
        <v>20</v>
      </c>
      <c r="E19" s="10">
        <v>0</v>
      </c>
      <c r="G19" s="60" t="s">
        <v>21</v>
      </c>
      <c r="I19" s="4">
        <v>0</v>
      </c>
    </row>
    <row r="20" spans="3:12">
      <c r="C20" s="9" t="s">
        <v>22</v>
      </c>
      <c r="E20" s="7">
        <v>0</v>
      </c>
      <c r="G20" s="28" t="s">
        <v>23</v>
      </c>
      <c r="I20" s="5">
        <v>0</v>
      </c>
    </row>
    <row r="21" spans="3:12">
      <c r="C21" s="9" t="s">
        <v>24</v>
      </c>
      <c r="E21" s="13" t="s">
        <v>25</v>
      </c>
      <c r="G21" s="28" t="s">
        <v>26</v>
      </c>
      <c r="I21" s="6">
        <f>I19+I20</f>
        <v>0</v>
      </c>
    </row>
    <row r="23" spans="3:12">
      <c r="C23" s="40" t="s">
        <v>27</v>
      </c>
      <c r="E23" s="41" t="s">
        <v>28</v>
      </c>
      <c r="F23" s="30"/>
      <c r="G23" s="39" t="s">
        <v>29</v>
      </c>
      <c r="H23" s="30"/>
      <c r="I23" s="41" t="s">
        <v>30</v>
      </c>
      <c r="K23" s="39" t="s">
        <v>31</v>
      </c>
    </row>
    <row r="24" spans="3:12">
      <c r="C24" s="27" t="s">
        <v>32</v>
      </c>
      <c r="E24" s="4">
        <v>0</v>
      </c>
      <c r="G24" s="33">
        <f>I24-E24</f>
        <v>0</v>
      </c>
      <c r="I24" s="21">
        <f>((E24*K24)/100)+E24</f>
        <v>0</v>
      </c>
      <c r="K24" s="25">
        <v>30</v>
      </c>
      <c r="L24" s="306" t="s">
        <v>33</v>
      </c>
    </row>
    <row r="25" spans="3:12">
      <c r="C25" s="36" t="s">
        <v>34</v>
      </c>
      <c r="E25" s="35">
        <v>0</v>
      </c>
      <c r="G25" s="32">
        <f>I25-E25</f>
        <v>0</v>
      </c>
      <c r="I25" s="21">
        <f>((E25*K25)/100)+E25</f>
        <v>0</v>
      </c>
      <c r="K25" s="26">
        <v>10</v>
      </c>
      <c r="L25" s="307" t="s">
        <v>33</v>
      </c>
    </row>
    <row r="26" spans="3:12">
      <c r="C26" s="36" t="s">
        <v>35</v>
      </c>
      <c r="E26" s="35">
        <v>0</v>
      </c>
      <c r="G26" s="32">
        <f>I26-E26</f>
        <v>0</v>
      </c>
      <c r="I26" s="21">
        <f>((E26*K26)/100)+E26</f>
        <v>0</v>
      </c>
      <c r="K26" s="26">
        <v>30</v>
      </c>
      <c r="L26" s="307" t="s">
        <v>33</v>
      </c>
    </row>
    <row r="27" spans="3:12">
      <c r="C27" s="28" t="s">
        <v>35</v>
      </c>
      <c r="E27" s="5">
        <v>0</v>
      </c>
      <c r="G27" s="34">
        <f>I27-E27</f>
        <v>0</v>
      </c>
      <c r="I27" s="21">
        <f>((E27*K27)/100)+E27</f>
        <v>0</v>
      </c>
      <c r="K27" s="309">
        <v>30</v>
      </c>
      <c r="L27" s="308" t="s">
        <v>33</v>
      </c>
    </row>
    <row r="28" spans="3:12">
      <c r="C28" s="18" t="s">
        <v>36</v>
      </c>
      <c r="E28" s="34">
        <f>SUM(E24:E27)</f>
        <v>0</v>
      </c>
      <c r="G28" s="34">
        <f>SUM(G24:G27)</f>
        <v>0</v>
      </c>
      <c r="I28" s="23">
        <f>SUM(I24:I27)</f>
        <v>0</v>
      </c>
    </row>
    <row r="29" spans="3:12">
      <c r="G29" s="38">
        <f>IFERROR(G28/I28,0)</f>
        <v>0</v>
      </c>
    </row>
    <row r="31" spans="3:12">
      <c r="G31" s="42" t="s">
        <v>37</v>
      </c>
      <c r="I31" s="23">
        <f>I21-I28</f>
        <v>0</v>
      </c>
    </row>
    <row r="33" spans="3:14">
      <c r="C33" s="284" t="s">
        <v>38</v>
      </c>
      <c r="D33" s="29"/>
      <c r="E33" s="39" t="s">
        <v>28</v>
      </c>
      <c r="F33" s="30"/>
      <c r="G33" s="39" t="s">
        <v>29</v>
      </c>
      <c r="H33" s="30"/>
      <c r="I33" s="39" t="s">
        <v>39</v>
      </c>
      <c r="J33" s="30"/>
      <c r="K33" s="41" t="s">
        <v>40</v>
      </c>
    </row>
    <row r="34" spans="3:14">
      <c r="C34" s="27" t="s">
        <v>41</v>
      </c>
      <c r="E34" s="4">
        <v>0</v>
      </c>
      <c r="G34" s="285">
        <f t="shared" ref="G34:G45" si="0">I34-E34</f>
        <v>0</v>
      </c>
      <c r="I34" s="20">
        <f t="shared" ref="I34:I44" si="1">E34*K34</f>
        <v>0</v>
      </c>
      <c r="K34" s="25">
        <v>4</v>
      </c>
      <c r="L34" s="19" t="s">
        <v>42</v>
      </c>
    </row>
    <row r="35" spans="3:14">
      <c r="C35" s="36" t="s">
        <v>43</v>
      </c>
      <c r="E35" s="35">
        <v>0</v>
      </c>
      <c r="G35" s="32">
        <f t="shared" si="0"/>
        <v>0</v>
      </c>
      <c r="I35" s="21">
        <f t="shared" si="1"/>
        <v>0</v>
      </c>
      <c r="K35" s="37">
        <v>0</v>
      </c>
      <c r="L35" s="22" t="s">
        <v>42</v>
      </c>
    </row>
    <row r="36" spans="3:14">
      <c r="C36" s="287" t="s">
        <v>44</v>
      </c>
      <c r="D36" s="24" t="s">
        <v>11</v>
      </c>
      <c r="E36" s="35">
        <v>0</v>
      </c>
      <c r="F36" s="24"/>
      <c r="G36" s="32">
        <f t="shared" si="0"/>
        <v>0</v>
      </c>
      <c r="H36" s="24"/>
      <c r="I36" s="21">
        <f t="shared" si="1"/>
        <v>0</v>
      </c>
      <c r="K36" s="37">
        <v>0</v>
      </c>
      <c r="L36" s="22" t="s">
        <v>42</v>
      </c>
    </row>
    <row r="37" spans="3:14">
      <c r="C37" s="287" t="s">
        <v>45</v>
      </c>
      <c r="D37" s="24"/>
      <c r="E37" s="35">
        <v>0</v>
      </c>
      <c r="G37" s="32">
        <f t="shared" si="0"/>
        <v>0</v>
      </c>
      <c r="H37" s="24"/>
      <c r="I37" s="21">
        <f t="shared" si="1"/>
        <v>0</v>
      </c>
      <c r="K37" s="37">
        <v>0</v>
      </c>
      <c r="L37" s="22" t="s">
        <v>42</v>
      </c>
    </row>
    <row r="38" spans="3:14">
      <c r="C38" s="287" t="s">
        <v>46</v>
      </c>
      <c r="D38" s="24"/>
      <c r="E38" s="35">
        <v>0</v>
      </c>
      <c r="F38" s="24"/>
      <c r="G38" s="32">
        <f t="shared" si="0"/>
        <v>0</v>
      </c>
      <c r="H38" s="24"/>
      <c r="I38" s="21">
        <f t="shared" si="1"/>
        <v>0</v>
      </c>
      <c r="K38" s="37">
        <v>0</v>
      </c>
      <c r="L38" s="22" t="s">
        <v>42</v>
      </c>
    </row>
    <row r="39" spans="3:14">
      <c r="C39" s="287" t="s">
        <v>47</v>
      </c>
      <c r="D39" s="24"/>
      <c r="E39" s="35">
        <v>0</v>
      </c>
      <c r="F39" s="24"/>
      <c r="G39" s="32">
        <f t="shared" si="0"/>
        <v>0</v>
      </c>
      <c r="H39" s="24"/>
      <c r="I39" s="21">
        <f t="shared" si="1"/>
        <v>0</v>
      </c>
      <c r="K39" s="26">
        <v>0</v>
      </c>
      <c r="L39" s="22" t="s">
        <v>42</v>
      </c>
    </row>
    <row r="40" spans="3:14">
      <c r="C40" s="36" t="s">
        <v>48</v>
      </c>
      <c r="E40" s="35">
        <v>0</v>
      </c>
      <c r="G40" s="32">
        <f t="shared" si="0"/>
        <v>0</v>
      </c>
      <c r="H40" s="24"/>
      <c r="I40" s="21">
        <f t="shared" si="1"/>
        <v>0</v>
      </c>
      <c r="K40" s="26">
        <v>0</v>
      </c>
      <c r="L40" s="22" t="s">
        <v>42</v>
      </c>
    </row>
    <row r="41" spans="3:14">
      <c r="C41" s="36" t="s">
        <v>49</v>
      </c>
      <c r="D41" s="24" t="s">
        <v>11</v>
      </c>
      <c r="E41" s="35">
        <v>0</v>
      </c>
      <c r="F41" s="24"/>
      <c r="G41" s="32">
        <f t="shared" si="0"/>
        <v>0</v>
      </c>
      <c r="H41" s="24"/>
      <c r="I41" s="21">
        <f t="shared" si="1"/>
        <v>0</v>
      </c>
      <c r="K41" s="26">
        <v>0</v>
      </c>
      <c r="L41" s="22" t="s">
        <v>42</v>
      </c>
    </row>
    <row r="42" spans="3:14">
      <c r="C42" s="36" t="s">
        <v>50</v>
      </c>
      <c r="D42" s="24" t="s">
        <v>11</v>
      </c>
      <c r="E42" s="35">
        <v>0</v>
      </c>
      <c r="F42" s="24"/>
      <c r="G42" s="32">
        <f t="shared" si="0"/>
        <v>0</v>
      </c>
      <c r="H42" s="24"/>
      <c r="I42" s="21">
        <f t="shared" si="1"/>
        <v>0</v>
      </c>
      <c r="K42" s="26">
        <v>0</v>
      </c>
      <c r="L42" s="22" t="s">
        <v>42</v>
      </c>
    </row>
    <row r="43" spans="3:14">
      <c r="C43" s="36" t="s">
        <v>50</v>
      </c>
      <c r="D43" s="24" t="s">
        <v>11</v>
      </c>
      <c r="E43" s="35">
        <v>0</v>
      </c>
      <c r="F43" s="24"/>
      <c r="G43" s="32">
        <f t="shared" si="0"/>
        <v>0</v>
      </c>
      <c r="H43" s="24"/>
      <c r="I43" s="21">
        <f t="shared" si="1"/>
        <v>0</v>
      </c>
      <c r="K43" s="26">
        <v>0</v>
      </c>
      <c r="L43" s="22" t="s">
        <v>42</v>
      </c>
    </row>
    <row r="44" spans="3:14">
      <c r="C44" s="36" t="s">
        <v>51</v>
      </c>
      <c r="D44" s="24" t="s">
        <v>11</v>
      </c>
      <c r="E44" s="35">
        <v>0</v>
      </c>
      <c r="F44" s="24"/>
      <c r="G44" s="32">
        <f t="shared" si="0"/>
        <v>0</v>
      </c>
      <c r="H44" s="24"/>
      <c r="I44" s="21">
        <f t="shared" si="1"/>
        <v>0</v>
      </c>
      <c r="K44" s="26">
        <v>0</v>
      </c>
      <c r="L44" s="22" t="s">
        <v>42</v>
      </c>
    </row>
    <row r="45" spans="3:14">
      <c r="C45" s="28" t="s">
        <v>52</v>
      </c>
      <c r="D45" s="24" t="s">
        <v>11</v>
      </c>
      <c r="E45" s="34">
        <f>'Budget show 3'!F223*0.005</f>
        <v>0</v>
      </c>
      <c r="F45" s="24"/>
      <c r="G45" s="34">
        <f t="shared" si="0"/>
        <v>0</v>
      </c>
      <c r="H45" s="24"/>
      <c r="I45" s="140"/>
      <c r="K45" s="141" t="s">
        <v>11</v>
      </c>
      <c r="L45" s="142" t="s">
        <v>11</v>
      </c>
    </row>
    <row r="46" spans="3:14">
      <c r="C46" s="18" t="s">
        <v>53</v>
      </c>
      <c r="E46" s="34">
        <f>SUM(E34:E45)</f>
        <v>0</v>
      </c>
      <c r="G46" s="34">
        <f>SUM(G34:G45)</f>
        <v>0</v>
      </c>
      <c r="I46" s="23">
        <f>SUM(I34:I45)</f>
        <v>0</v>
      </c>
    </row>
    <row r="47" spans="3:14">
      <c r="G47" s="38">
        <f>IFERROR(G46/I46,0)</f>
        <v>0</v>
      </c>
    </row>
    <row r="48" spans="3:14">
      <c r="N48" s="44" t="s">
        <v>11</v>
      </c>
    </row>
    <row r="49" spans="2:21">
      <c r="G49" s="42" t="s">
        <v>54</v>
      </c>
      <c r="I49" s="23">
        <f>I31-I46</f>
        <v>0</v>
      </c>
    </row>
    <row r="51" spans="2:21">
      <c r="E51" s="41" t="s">
        <v>28</v>
      </c>
      <c r="G51" s="39" t="s">
        <v>29</v>
      </c>
      <c r="I51" s="41" t="s">
        <v>55</v>
      </c>
      <c r="K51" s="41" t="s">
        <v>31</v>
      </c>
    </row>
    <row r="52" spans="2:21">
      <c r="C52" s="64" t="s">
        <v>56</v>
      </c>
      <c r="E52" s="55">
        <f>(I49/(100+K52)*100)</f>
        <v>0</v>
      </c>
      <c r="G52" s="45">
        <f>I52-E52</f>
        <v>0</v>
      </c>
      <c r="I52" s="23">
        <f>((100+K52)/100)*E52</f>
        <v>0</v>
      </c>
      <c r="K52" s="43">
        <v>30</v>
      </c>
      <c r="L52" s="18" t="s">
        <v>33</v>
      </c>
    </row>
    <row r="53" spans="2:21">
      <c r="G53" s="38">
        <f>IFERROR(G52/I52,0)</f>
        <v>0</v>
      </c>
      <c r="I53" s="56">
        <f>I49-I52</f>
        <v>0</v>
      </c>
    </row>
    <row r="54" spans="2:21">
      <c r="E54" s="31" t="s">
        <v>11</v>
      </c>
      <c r="I54" s="57" t="s">
        <v>57</v>
      </c>
      <c r="K54" s="31" t="s">
        <v>11</v>
      </c>
    </row>
    <row r="55" spans="2:21">
      <c r="E55" s="31"/>
      <c r="K55" s="31"/>
    </row>
    <row r="56" spans="2:21">
      <c r="E56" s="41" t="s">
        <v>28</v>
      </c>
      <c r="G56" s="39" t="s">
        <v>29</v>
      </c>
      <c r="I56" s="41" t="s">
        <v>55</v>
      </c>
      <c r="K56" s="41" t="s">
        <v>31</v>
      </c>
    </row>
    <row r="57" spans="2:21">
      <c r="C57" s="64" t="s">
        <v>58</v>
      </c>
      <c r="E57" s="145">
        <v>0</v>
      </c>
      <c r="G57" s="45">
        <f>I57-E57</f>
        <v>0</v>
      </c>
      <c r="I57" s="23">
        <f>I52</f>
        <v>0</v>
      </c>
      <c r="K57" s="43">
        <v>30</v>
      </c>
      <c r="L57" s="18" t="s">
        <v>33</v>
      </c>
    </row>
    <row r="58" spans="2:21">
      <c r="G58" s="38">
        <f>IFERROR(G57/I57,0)</f>
        <v>0</v>
      </c>
      <c r="I58" s="56">
        <f>I49-I57</f>
        <v>0</v>
      </c>
    </row>
    <row r="59" spans="2:21">
      <c r="I59" s="57" t="s">
        <v>57</v>
      </c>
    </row>
    <row r="60" spans="2:21" ht="15.95" thickBot="1"/>
    <row r="61" spans="2:21">
      <c r="B61" s="46"/>
      <c r="C61" s="47"/>
      <c r="D61" s="47"/>
      <c r="E61" s="47"/>
      <c r="F61" s="47"/>
      <c r="G61" s="47"/>
      <c r="H61" s="47"/>
      <c r="I61" s="47"/>
      <c r="J61" s="48"/>
    </row>
    <row r="62" spans="2:21">
      <c r="B62" s="49"/>
      <c r="E62" s="41" t="s">
        <v>59</v>
      </c>
      <c r="G62" s="39" t="s">
        <v>29</v>
      </c>
      <c r="I62" s="41" t="s">
        <v>60</v>
      </c>
      <c r="J62" s="50"/>
    </row>
    <row r="63" spans="2:21">
      <c r="B63" s="49"/>
      <c r="C63" s="9" t="s">
        <v>61</v>
      </c>
      <c r="E63" s="45">
        <f>E28+E46+E52</f>
        <v>0</v>
      </c>
      <c r="G63" s="45">
        <f>G28+G46+G52</f>
        <v>0</v>
      </c>
      <c r="I63" s="23">
        <f>I28+I46+I52</f>
        <v>0</v>
      </c>
      <c r="J63" s="5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2:21">
      <c r="B64" s="49"/>
      <c r="G64" s="38">
        <f>IFERROR(G63/I63,0)</f>
        <v>0</v>
      </c>
      <c r="I64" s="56">
        <f>I21-I63</f>
        <v>0</v>
      </c>
      <c r="J64" s="50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2:21">
      <c r="B65" s="49"/>
      <c r="I65" s="57" t="s">
        <v>57</v>
      </c>
      <c r="J65" s="50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2:21" ht="15.95" thickBot="1">
      <c r="B66" s="51"/>
      <c r="C66" s="52"/>
      <c r="D66" s="52"/>
      <c r="E66" s="52"/>
      <c r="F66" s="52"/>
      <c r="G66" s="52"/>
      <c r="H66" s="52"/>
      <c r="I66" s="52"/>
      <c r="J66" s="53"/>
      <c r="K66" s="61"/>
      <c r="L66" s="62" t="s">
        <v>11</v>
      </c>
      <c r="M66" s="61"/>
      <c r="N66" s="61"/>
      <c r="O66" s="61"/>
      <c r="P66" s="61"/>
      <c r="Q66" s="61"/>
      <c r="R66" s="61"/>
      <c r="S66" s="61"/>
      <c r="T66" s="61"/>
      <c r="U66" s="61"/>
    </row>
    <row r="67" spans="2:21">
      <c r="B67" s="61"/>
      <c r="C67" s="61"/>
      <c r="E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2:21">
      <c r="B68" s="61"/>
      <c r="C68" s="61"/>
      <c r="E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2:21">
      <c r="B69" s="61"/>
      <c r="C69" s="54" t="s">
        <v>62</v>
      </c>
      <c r="E69" s="63" t="e">
        <f>I19/E10</f>
        <v>#DIV/0!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2:21">
      <c r="B70" s="61"/>
      <c r="C70" s="54" t="s">
        <v>63</v>
      </c>
      <c r="E70" s="63" t="e">
        <f>E57/E10</f>
        <v>#DIV/0!</v>
      </c>
      <c r="G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2:21">
      <c r="B71" s="61"/>
      <c r="C71" s="61"/>
      <c r="E71" s="61"/>
      <c r="G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2:21">
      <c r="B72" s="61"/>
      <c r="C72" s="61"/>
      <c r="E72" s="61"/>
      <c r="G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2:21">
      <c r="B73" s="61"/>
      <c r="C73" s="61"/>
      <c r="E73" s="61"/>
      <c r="G73" s="61"/>
      <c r="I73" s="61"/>
      <c r="J73" s="61"/>
      <c r="K73" s="62" t="s">
        <v>11</v>
      </c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2:21">
      <c r="G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2:21">
      <c r="G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2:21">
      <c r="G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2:21">
      <c r="G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2:21">
      <c r="G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2:21">
      <c r="G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2:21">
      <c r="G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7:21">
      <c r="G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7:21">
      <c r="G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7:21">
      <c r="G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7:21">
      <c r="G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7:21">
      <c r="G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7:21">
      <c r="G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7:21">
      <c r="G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7:21">
      <c r="G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7:21"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7:21"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7:21"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7:21"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7:21"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7:21"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7:21"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</sheetData>
  <conditionalFormatting sqref="G64">
    <cfRule type="cellIs" dxfId="489" priority="6" operator="lessThan">
      <formula>25%</formula>
    </cfRule>
  </conditionalFormatting>
  <conditionalFormatting sqref="I53">
    <cfRule type="cellIs" dxfId="488" priority="10" stopIfTrue="1" operator="equal">
      <formula>0</formula>
    </cfRule>
    <cfRule type="cellIs" dxfId="487" priority="9" stopIfTrue="1" operator="notEqual">
      <formula>0</formula>
    </cfRule>
  </conditionalFormatting>
  <conditionalFormatting sqref="I58">
    <cfRule type="cellIs" dxfId="486" priority="2" stopIfTrue="1" operator="notEqual">
      <formula>0</formula>
    </cfRule>
    <cfRule type="cellIs" dxfId="485" priority="3" stopIfTrue="1" operator="equal">
      <formula>0</formula>
    </cfRule>
  </conditionalFormatting>
  <conditionalFormatting sqref="I64">
    <cfRule type="cellIs" dxfId="484" priority="7" stopIfTrue="1" operator="notEqual">
      <formula>0</formula>
    </cfRule>
    <cfRule type="cellIs" dxfId="483" priority="8" stopIfTrue="1" operator="equal">
      <formula>0</formula>
    </cfRule>
  </conditionalFormatting>
  <conditionalFormatting sqref="K24:K27">
    <cfRule type="cellIs" dxfId="482" priority="1" operator="notEqual">
      <formula>30</formula>
    </cfRule>
  </conditionalFormatting>
  <conditionalFormatting sqref="K34">
    <cfRule type="cellIs" dxfId="481" priority="12" operator="notEqual">
      <formula>4</formula>
    </cfRule>
  </conditionalFormatting>
  <conditionalFormatting sqref="K35:K44">
    <cfRule type="cellIs" dxfId="480" priority="5" operator="notEqual">
      <formula>0</formula>
    </cfRule>
  </conditionalFormatting>
  <conditionalFormatting sqref="K52">
    <cfRule type="cellIs" dxfId="479" priority="11" operator="notEqual">
      <formula>30</formula>
    </cfRule>
  </conditionalFormatting>
  <conditionalFormatting sqref="K57">
    <cfRule type="cellIs" dxfId="478" priority="4" operator="notEqual">
      <formula>30</formula>
    </cfRule>
  </conditionalFormatting>
  <pageMargins left="0.75000000000000011" right="0.75000000000000011" top="1" bottom="1" header="0.5" footer="0.5"/>
  <pageSetup paperSize="9" scale="52" orientation="portrait" horizontalDpi="4294967292" verticalDpi="429496729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1FB5DB-3622-7C43-89AB-22EF264DA77B}">
          <x14:formula1>
            <xm:f>'Dropdown content'!$D$2:$D$4</xm:f>
          </x14:formula1>
          <xm:sqref>E11</xm:sqref>
        </x14:dataValidation>
        <x14:dataValidation type="list" allowBlank="1" showInputMessage="1" showErrorMessage="1" xr:uid="{EB2AAA72-2E95-1C4A-B723-D6425EB0E195}">
          <x14:formula1>
            <xm:f>'Dropdown content'!$D$6:$D$11</xm:f>
          </x14:formula1>
          <xm:sqref>E12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04A3-66C2-C548-B1C8-9C40995C169F}">
  <sheetPr>
    <pageSetUpPr fitToPage="1"/>
  </sheetPr>
  <dimension ref="B1:U95"/>
  <sheetViews>
    <sheetView showGridLines="0" topLeftCell="A11" zoomScale="140" zoomScaleNormal="140" zoomScalePageLayoutView="125" workbookViewId="0">
      <selection activeCell="Q23" sqref="Q23"/>
    </sheetView>
  </sheetViews>
  <sheetFormatPr defaultColWidth="10.875" defaultRowHeight="15"/>
  <cols>
    <col min="1" max="1" width="1.875" style="3" customWidth="1"/>
    <col min="2" max="2" width="2.375" style="3" customWidth="1"/>
    <col min="3" max="3" width="27.875" style="3" customWidth="1"/>
    <col min="4" max="4" width="0.875" style="3" customWidth="1"/>
    <col min="5" max="5" width="21.625" style="3" customWidth="1"/>
    <col min="6" max="6" width="0.875" style="3" customWidth="1"/>
    <col min="7" max="7" width="20.875" style="3" customWidth="1"/>
    <col min="8" max="8" width="0.875" style="3" customWidth="1"/>
    <col min="9" max="9" width="20.875" style="3" customWidth="1"/>
    <col min="10" max="10" width="0.875" style="3" customWidth="1"/>
    <col min="11" max="11" width="20.875" style="3" customWidth="1"/>
    <col min="12" max="12" width="6.875" style="3" customWidth="1"/>
    <col min="13" max="13" width="2.875" style="3" customWidth="1"/>
    <col min="14" max="17" width="10.875" style="3" customWidth="1"/>
    <col min="18" max="16384" width="10.875" style="3"/>
  </cols>
  <sheetData>
    <row r="1" spans="2:16" ht="11.1" customHeight="1" thickBot="1"/>
    <row r="2" spans="2:16" ht="20.100000000000001" thickBot="1">
      <c r="C2" s="2" t="s">
        <v>0</v>
      </c>
    </row>
    <row r="3" spans="2:16" ht="9.9499999999999993" customHeight="1"/>
    <row r="4" spans="2:16">
      <c r="C4" s="27" t="s">
        <v>1</v>
      </c>
      <c r="E4" s="8" t="s">
        <v>64</v>
      </c>
    </row>
    <row r="5" spans="2:16">
      <c r="C5" s="36" t="s">
        <v>3</v>
      </c>
      <c r="E5" s="11" t="s">
        <v>4</v>
      </c>
    </row>
    <row r="6" spans="2:16">
      <c r="C6" s="36" t="s">
        <v>5</v>
      </c>
      <c r="E6" s="12" t="s">
        <v>6</v>
      </c>
    </row>
    <row r="7" spans="2:16">
      <c r="C7" s="36" t="s">
        <v>7</v>
      </c>
      <c r="E7" s="12" t="s">
        <v>8</v>
      </c>
    </row>
    <row r="8" spans="2:16">
      <c r="C8" s="28" t="s">
        <v>9</v>
      </c>
      <c r="D8" s="286"/>
      <c r="E8" s="58" t="s">
        <v>10</v>
      </c>
    </row>
    <row r="9" spans="2:16">
      <c r="B9" s="3" t="s">
        <v>11</v>
      </c>
      <c r="P9" s="3" t="s">
        <v>11</v>
      </c>
    </row>
    <row r="10" spans="2:16">
      <c r="C10" s="27" t="s">
        <v>12</v>
      </c>
      <c r="E10" s="259">
        <v>0</v>
      </c>
    </row>
    <row r="11" spans="2:16">
      <c r="C11" s="36" t="s">
        <v>13</v>
      </c>
      <c r="E11" s="14" t="s">
        <v>14</v>
      </c>
    </row>
    <row r="12" spans="2:16">
      <c r="C12" s="28" t="s">
        <v>15</v>
      </c>
      <c r="E12" s="15" t="s">
        <v>14</v>
      </c>
    </row>
    <row r="14" spans="2:16">
      <c r="C14" s="27" t="s">
        <v>16</v>
      </c>
      <c r="E14" s="8" t="s">
        <v>17</v>
      </c>
    </row>
    <row r="15" spans="2:16">
      <c r="C15" s="36" t="s">
        <v>18</v>
      </c>
      <c r="E15" s="16" t="s">
        <v>17</v>
      </c>
    </row>
    <row r="16" spans="2:16">
      <c r="C16" s="36" t="s">
        <v>18</v>
      </c>
      <c r="E16" s="16" t="s">
        <v>17</v>
      </c>
    </row>
    <row r="17" spans="3:12">
      <c r="C17" s="28" t="s">
        <v>19</v>
      </c>
      <c r="E17" s="17" t="s">
        <v>17</v>
      </c>
    </row>
    <row r="19" spans="3:12">
      <c r="C19" s="59" t="s">
        <v>20</v>
      </c>
      <c r="E19" s="10">
        <v>0</v>
      </c>
      <c r="G19" s="60" t="s">
        <v>21</v>
      </c>
      <c r="I19" s="4">
        <v>0</v>
      </c>
    </row>
    <row r="20" spans="3:12">
      <c r="C20" s="9" t="s">
        <v>22</v>
      </c>
      <c r="E20" s="7">
        <v>0</v>
      </c>
      <c r="G20" s="28" t="s">
        <v>23</v>
      </c>
      <c r="I20" s="5">
        <v>0</v>
      </c>
    </row>
    <row r="21" spans="3:12">
      <c r="C21" s="9" t="s">
        <v>24</v>
      </c>
      <c r="E21" s="13" t="s">
        <v>25</v>
      </c>
      <c r="G21" s="28" t="s">
        <v>26</v>
      </c>
      <c r="I21" s="6">
        <f>I19+I20</f>
        <v>0</v>
      </c>
    </row>
    <row r="23" spans="3:12">
      <c r="C23" s="40" t="s">
        <v>27</v>
      </c>
      <c r="E23" s="41" t="s">
        <v>28</v>
      </c>
      <c r="F23" s="30"/>
      <c r="G23" s="39" t="s">
        <v>29</v>
      </c>
      <c r="H23" s="30"/>
      <c r="I23" s="41" t="s">
        <v>30</v>
      </c>
      <c r="K23" s="39" t="s">
        <v>31</v>
      </c>
    </row>
    <row r="24" spans="3:12">
      <c r="C24" s="27" t="s">
        <v>32</v>
      </c>
      <c r="E24" s="4">
        <v>0</v>
      </c>
      <c r="G24" s="33">
        <f>I24-E24</f>
        <v>0</v>
      </c>
      <c r="I24" s="21">
        <f>((E24*K24)/100)+E24</f>
        <v>0</v>
      </c>
      <c r="K24" s="25">
        <v>30</v>
      </c>
      <c r="L24" s="306" t="s">
        <v>33</v>
      </c>
    </row>
    <row r="25" spans="3:12">
      <c r="C25" s="36" t="s">
        <v>34</v>
      </c>
      <c r="E25" s="35">
        <v>0</v>
      </c>
      <c r="G25" s="32">
        <f>I25-E25</f>
        <v>0</v>
      </c>
      <c r="I25" s="21">
        <f>((E25*K25)/100)+E25</f>
        <v>0</v>
      </c>
      <c r="K25" s="26">
        <v>10</v>
      </c>
      <c r="L25" s="307" t="s">
        <v>33</v>
      </c>
    </row>
    <row r="26" spans="3:12">
      <c r="C26" s="36" t="s">
        <v>35</v>
      </c>
      <c r="E26" s="35">
        <v>0</v>
      </c>
      <c r="G26" s="32">
        <f>I26-E26</f>
        <v>0</v>
      </c>
      <c r="I26" s="21">
        <f>((E26*K26)/100)+E26</f>
        <v>0</v>
      </c>
      <c r="K26" s="26">
        <v>30</v>
      </c>
      <c r="L26" s="307" t="s">
        <v>33</v>
      </c>
    </row>
    <row r="27" spans="3:12">
      <c r="C27" s="28" t="s">
        <v>35</v>
      </c>
      <c r="E27" s="5">
        <v>0</v>
      </c>
      <c r="G27" s="34">
        <f>I27-E27</f>
        <v>0</v>
      </c>
      <c r="I27" s="21">
        <f>((E27*K27)/100)+E27</f>
        <v>0</v>
      </c>
      <c r="K27" s="309">
        <v>30</v>
      </c>
      <c r="L27" s="308" t="s">
        <v>33</v>
      </c>
    </row>
    <row r="28" spans="3:12">
      <c r="C28" s="18" t="s">
        <v>36</v>
      </c>
      <c r="E28" s="34">
        <f>SUM(E24:E27)</f>
        <v>0</v>
      </c>
      <c r="G28" s="34">
        <f>SUM(G24:G27)</f>
        <v>0</v>
      </c>
      <c r="I28" s="23">
        <f>SUM(I24:I27)</f>
        <v>0</v>
      </c>
    </row>
    <row r="29" spans="3:12">
      <c r="G29" s="38">
        <f>IFERROR(G28/I28,0)</f>
        <v>0</v>
      </c>
    </row>
    <row r="31" spans="3:12">
      <c r="G31" s="42" t="s">
        <v>37</v>
      </c>
      <c r="I31" s="23">
        <f>I21-I28</f>
        <v>0</v>
      </c>
    </row>
    <row r="33" spans="3:14">
      <c r="C33" s="284" t="s">
        <v>38</v>
      </c>
      <c r="D33" s="29"/>
      <c r="E33" s="39" t="s">
        <v>28</v>
      </c>
      <c r="F33" s="30"/>
      <c r="G33" s="39" t="s">
        <v>29</v>
      </c>
      <c r="H33" s="30"/>
      <c r="I33" s="39" t="s">
        <v>39</v>
      </c>
      <c r="J33" s="30"/>
      <c r="K33" s="41" t="s">
        <v>40</v>
      </c>
    </row>
    <row r="34" spans="3:14">
      <c r="C34" s="27" t="s">
        <v>41</v>
      </c>
      <c r="E34" s="4">
        <v>0</v>
      </c>
      <c r="G34" s="285">
        <f t="shared" ref="G34:G45" si="0">I34-E34</f>
        <v>0</v>
      </c>
      <c r="I34" s="20">
        <f t="shared" ref="I34:I44" si="1">E34*K34</f>
        <v>0</v>
      </c>
      <c r="K34" s="25">
        <v>4</v>
      </c>
      <c r="L34" s="19" t="s">
        <v>42</v>
      </c>
    </row>
    <row r="35" spans="3:14">
      <c r="C35" s="36" t="s">
        <v>43</v>
      </c>
      <c r="E35" s="35">
        <v>0</v>
      </c>
      <c r="G35" s="32">
        <f t="shared" si="0"/>
        <v>0</v>
      </c>
      <c r="I35" s="21">
        <f t="shared" si="1"/>
        <v>0</v>
      </c>
      <c r="K35" s="37">
        <v>0</v>
      </c>
      <c r="L35" s="22" t="s">
        <v>42</v>
      </c>
    </row>
    <row r="36" spans="3:14">
      <c r="C36" s="287" t="s">
        <v>44</v>
      </c>
      <c r="D36" s="24" t="s">
        <v>11</v>
      </c>
      <c r="E36" s="35">
        <v>0</v>
      </c>
      <c r="F36" s="24"/>
      <c r="G36" s="32">
        <f t="shared" si="0"/>
        <v>0</v>
      </c>
      <c r="H36" s="24"/>
      <c r="I36" s="21">
        <f t="shared" si="1"/>
        <v>0</v>
      </c>
      <c r="K36" s="37">
        <v>0</v>
      </c>
      <c r="L36" s="22" t="s">
        <v>42</v>
      </c>
    </row>
    <row r="37" spans="3:14">
      <c r="C37" s="287" t="s">
        <v>45</v>
      </c>
      <c r="D37" s="24"/>
      <c r="E37" s="35">
        <v>0</v>
      </c>
      <c r="G37" s="32">
        <f t="shared" si="0"/>
        <v>0</v>
      </c>
      <c r="H37" s="24"/>
      <c r="I37" s="21">
        <f t="shared" si="1"/>
        <v>0</v>
      </c>
      <c r="K37" s="37">
        <v>0</v>
      </c>
      <c r="L37" s="22" t="s">
        <v>42</v>
      </c>
    </row>
    <row r="38" spans="3:14">
      <c r="C38" s="287" t="s">
        <v>46</v>
      </c>
      <c r="D38" s="24"/>
      <c r="E38" s="35">
        <v>0</v>
      </c>
      <c r="F38" s="24"/>
      <c r="G38" s="32">
        <f t="shared" si="0"/>
        <v>0</v>
      </c>
      <c r="H38" s="24"/>
      <c r="I38" s="21">
        <f t="shared" si="1"/>
        <v>0</v>
      </c>
      <c r="K38" s="37">
        <v>0</v>
      </c>
      <c r="L38" s="22" t="s">
        <v>42</v>
      </c>
    </row>
    <row r="39" spans="3:14">
      <c r="C39" s="287" t="s">
        <v>47</v>
      </c>
      <c r="D39" s="24"/>
      <c r="E39" s="35">
        <v>0</v>
      </c>
      <c r="F39" s="24"/>
      <c r="G39" s="32">
        <f t="shared" si="0"/>
        <v>0</v>
      </c>
      <c r="H39" s="24"/>
      <c r="I39" s="21">
        <f t="shared" si="1"/>
        <v>0</v>
      </c>
      <c r="K39" s="26">
        <v>0</v>
      </c>
      <c r="L39" s="22" t="s">
        <v>42</v>
      </c>
    </row>
    <row r="40" spans="3:14">
      <c r="C40" s="36" t="s">
        <v>48</v>
      </c>
      <c r="E40" s="35">
        <v>0</v>
      </c>
      <c r="G40" s="32">
        <f t="shared" si="0"/>
        <v>0</v>
      </c>
      <c r="H40" s="24"/>
      <c r="I40" s="21">
        <f t="shared" si="1"/>
        <v>0</v>
      </c>
      <c r="K40" s="26">
        <v>0</v>
      </c>
      <c r="L40" s="22" t="s">
        <v>42</v>
      </c>
    </row>
    <row r="41" spans="3:14">
      <c r="C41" s="36" t="s">
        <v>49</v>
      </c>
      <c r="D41" s="24" t="s">
        <v>11</v>
      </c>
      <c r="E41" s="35">
        <v>0</v>
      </c>
      <c r="F41" s="24"/>
      <c r="G41" s="32">
        <f t="shared" si="0"/>
        <v>0</v>
      </c>
      <c r="H41" s="24"/>
      <c r="I41" s="21">
        <f t="shared" si="1"/>
        <v>0</v>
      </c>
      <c r="K41" s="26">
        <v>0</v>
      </c>
      <c r="L41" s="22" t="s">
        <v>42</v>
      </c>
    </row>
    <row r="42" spans="3:14">
      <c r="C42" s="36" t="s">
        <v>50</v>
      </c>
      <c r="D42" s="24" t="s">
        <v>11</v>
      </c>
      <c r="E42" s="35">
        <v>0</v>
      </c>
      <c r="F42" s="24"/>
      <c r="G42" s="32">
        <f t="shared" si="0"/>
        <v>0</v>
      </c>
      <c r="H42" s="24"/>
      <c r="I42" s="21">
        <f t="shared" si="1"/>
        <v>0</v>
      </c>
      <c r="K42" s="26">
        <v>0</v>
      </c>
      <c r="L42" s="22" t="s">
        <v>42</v>
      </c>
    </row>
    <row r="43" spans="3:14">
      <c r="C43" s="36" t="s">
        <v>50</v>
      </c>
      <c r="D43" s="24" t="s">
        <v>11</v>
      </c>
      <c r="E43" s="35">
        <v>0</v>
      </c>
      <c r="F43" s="24"/>
      <c r="G43" s="32">
        <f t="shared" si="0"/>
        <v>0</v>
      </c>
      <c r="H43" s="24"/>
      <c r="I43" s="21">
        <f t="shared" si="1"/>
        <v>0</v>
      </c>
      <c r="K43" s="26">
        <v>0</v>
      </c>
      <c r="L43" s="22" t="s">
        <v>42</v>
      </c>
    </row>
    <row r="44" spans="3:14">
      <c r="C44" s="36" t="s">
        <v>51</v>
      </c>
      <c r="D44" s="24" t="s">
        <v>11</v>
      </c>
      <c r="E44" s="35">
        <v>0</v>
      </c>
      <c r="F44" s="24"/>
      <c r="G44" s="32">
        <f t="shared" si="0"/>
        <v>0</v>
      </c>
      <c r="H44" s="24"/>
      <c r="I44" s="21">
        <f t="shared" si="1"/>
        <v>0</v>
      </c>
      <c r="K44" s="26">
        <v>0</v>
      </c>
      <c r="L44" s="22" t="s">
        <v>42</v>
      </c>
    </row>
    <row r="45" spans="3:14">
      <c r="C45" s="28" t="s">
        <v>52</v>
      </c>
      <c r="D45" s="24" t="s">
        <v>11</v>
      </c>
      <c r="E45" s="34">
        <f>'Budget show 4'!F223*0.005</f>
        <v>0</v>
      </c>
      <c r="F45" s="24"/>
      <c r="G45" s="34">
        <f t="shared" si="0"/>
        <v>0</v>
      </c>
      <c r="H45" s="24"/>
      <c r="I45" s="140"/>
      <c r="K45" s="141" t="s">
        <v>11</v>
      </c>
      <c r="L45" s="142" t="s">
        <v>11</v>
      </c>
    </row>
    <row r="46" spans="3:14">
      <c r="C46" s="18" t="s">
        <v>53</v>
      </c>
      <c r="E46" s="34">
        <f>SUM(E34:E45)</f>
        <v>0</v>
      </c>
      <c r="G46" s="34">
        <f>SUM(G34:G45)</f>
        <v>0</v>
      </c>
      <c r="I46" s="23">
        <f>SUM(I34:I45)</f>
        <v>0</v>
      </c>
    </row>
    <row r="47" spans="3:14">
      <c r="G47" s="38">
        <f>IFERROR(G46/I46,0)</f>
        <v>0</v>
      </c>
    </row>
    <row r="48" spans="3:14">
      <c r="N48" s="44" t="s">
        <v>11</v>
      </c>
    </row>
    <row r="49" spans="2:21">
      <c r="G49" s="42" t="s">
        <v>54</v>
      </c>
      <c r="I49" s="23">
        <f>I31-I46</f>
        <v>0</v>
      </c>
    </row>
    <row r="51" spans="2:21">
      <c r="E51" s="41" t="s">
        <v>28</v>
      </c>
      <c r="G51" s="39" t="s">
        <v>29</v>
      </c>
      <c r="I51" s="41" t="s">
        <v>55</v>
      </c>
      <c r="K51" s="41" t="s">
        <v>31</v>
      </c>
    </row>
    <row r="52" spans="2:21">
      <c r="C52" s="64" t="s">
        <v>56</v>
      </c>
      <c r="E52" s="55">
        <f>(I49/(100+K52)*100)</f>
        <v>0</v>
      </c>
      <c r="G52" s="45">
        <f>I52-E52</f>
        <v>0</v>
      </c>
      <c r="I52" s="23">
        <f>((100+K52)/100)*E52</f>
        <v>0</v>
      </c>
      <c r="K52" s="43">
        <v>30</v>
      </c>
      <c r="L52" s="18" t="s">
        <v>33</v>
      </c>
    </row>
    <row r="53" spans="2:21">
      <c r="G53" s="38">
        <f>IFERROR(G52/I52,0)</f>
        <v>0</v>
      </c>
      <c r="I53" s="56">
        <f>I49-I52</f>
        <v>0</v>
      </c>
    </row>
    <row r="54" spans="2:21">
      <c r="E54" s="31" t="s">
        <v>11</v>
      </c>
      <c r="I54" s="57" t="s">
        <v>57</v>
      </c>
      <c r="K54" s="31" t="s">
        <v>11</v>
      </c>
    </row>
    <row r="55" spans="2:21">
      <c r="E55" s="31"/>
      <c r="K55" s="31"/>
    </row>
    <row r="56" spans="2:21">
      <c r="E56" s="41" t="s">
        <v>28</v>
      </c>
      <c r="G56" s="39" t="s">
        <v>29</v>
      </c>
      <c r="I56" s="41" t="s">
        <v>55</v>
      </c>
      <c r="K56" s="41" t="s">
        <v>31</v>
      </c>
    </row>
    <row r="57" spans="2:21">
      <c r="C57" s="64" t="s">
        <v>58</v>
      </c>
      <c r="E57" s="145">
        <v>0</v>
      </c>
      <c r="G57" s="45">
        <f>I57-E57</f>
        <v>0</v>
      </c>
      <c r="I57" s="23">
        <f>I52</f>
        <v>0</v>
      </c>
      <c r="K57" s="43">
        <v>30</v>
      </c>
      <c r="L57" s="18" t="s">
        <v>33</v>
      </c>
    </row>
    <row r="58" spans="2:21">
      <c r="G58" s="38">
        <f>IFERROR(G57/I57,0)</f>
        <v>0</v>
      </c>
      <c r="I58" s="56">
        <f>I49-I57</f>
        <v>0</v>
      </c>
    </row>
    <row r="59" spans="2:21">
      <c r="I59" s="57" t="s">
        <v>57</v>
      </c>
    </row>
    <row r="60" spans="2:21" ht="15.95" thickBot="1"/>
    <row r="61" spans="2:21">
      <c r="B61" s="46"/>
      <c r="C61" s="47"/>
      <c r="D61" s="47"/>
      <c r="E61" s="47"/>
      <c r="F61" s="47"/>
      <c r="G61" s="47"/>
      <c r="H61" s="47"/>
      <c r="I61" s="47"/>
      <c r="J61" s="48"/>
    </row>
    <row r="62" spans="2:21">
      <c r="B62" s="49"/>
      <c r="E62" s="41" t="s">
        <v>59</v>
      </c>
      <c r="G62" s="39" t="s">
        <v>29</v>
      </c>
      <c r="I62" s="41" t="s">
        <v>60</v>
      </c>
      <c r="J62" s="50"/>
    </row>
    <row r="63" spans="2:21">
      <c r="B63" s="49"/>
      <c r="C63" s="9" t="s">
        <v>61</v>
      </c>
      <c r="E63" s="45">
        <f>E28+E46+E52</f>
        <v>0</v>
      </c>
      <c r="G63" s="45">
        <f>G28+G46+G52</f>
        <v>0</v>
      </c>
      <c r="I63" s="23">
        <f>I28+I46+I52</f>
        <v>0</v>
      </c>
      <c r="J63" s="5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</row>
    <row r="64" spans="2:21">
      <c r="B64" s="49"/>
      <c r="G64" s="38">
        <f>IFERROR(G63/I63,0)</f>
        <v>0</v>
      </c>
      <c r="I64" s="56">
        <f>I21-I63</f>
        <v>0</v>
      </c>
      <c r="J64" s="50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</row>
    <row r="65" spans="2:21">
      <c r="B65" s="49"/>
      <c r="I65" s="57" t="s">
        <v>57</v>
      </c>
      <c r="J65" s="50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</row>
    <row r="66" spans="2:21" ht="15.95" thickBot="1">
      <c r="B66" s="51"/>
      <c r="C66" s="52"/>
      <c r="D66" s="52"/>
      <c r="E66" s="52"/>
      <c r="F66" s="52"/>
      <c r="G66" s="52"/>
      <c r="H66" s="52"/>
      <c r="I66" s="52"/>
      <c r="J66" s="53"/>
      <c r="K66" s="61"/>
      <c r="L66" s="62" t="s">
        <v>11</v>
      </c>
      <c r="M66" s="61"/>
      <c r="N66" s="61"/>
      <c r="O66" s="61"/>
      <c r="P66" s="61"/>
      <c r="Q66" s="61"/>
      <c r="R66" s="61"/>
      <c r="S66" s="61"/>
      <c r="T66" s="61"/>
      <c r="U66" s="61"/>
    </row>
    <row r="67" spans="2:21">
      <c r="B67" s="61"/>
      <c r="C67" s="61"/>
      <c r="E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</row>
    <row r="68" spans="2:21">
      <c r="B68" s="61"/>
      <c r="C68" s="61"/>
      <c r="E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</row>
    <row r="69" spans="2:21">
      <c r="B69" s="61"/>
      <c r="C69" s="54" t="s">
        <v>62</v>
      </c>
      <c r="E69" s="63" t="e">
        <f>I19/E10</f>
        <v>#DIV/0!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</row>
    <row r="70" spans="2:21">
      <c r="B70" s="61"/>
      <c r="C70" s="54" t="s">
        <v>63</v>
      </c>
      <c r="E70" s="63" t="e">
        <f>E57/E10</f>
        <v>#DIV/0!</v>
      </c>
      <c r="G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</row>
    <row r="71" spans="2:21">
      <c r="B71" s="61"/>
      <c r="C71" s="61"/>
      <c r="E71" s="61"/>
      <c r="G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</row>
    <row r="72" spans="2:21">
      <c r="B72" s="61"/>
      <c r="C72" s="61"/>
      <c r="E72" s="61"/>
      <c r="G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</row>
    <row r="73" spans="2:21">
      <c r="B73" s="61"/>
      <c r="C73" s="61"/>
      <c r="E73" s="61"/>
      <c r="G73" s="61"/>
      <c r="I73" s="61"/>
      <c r="J73" s="61"/>
      <c r="K73" s="62" t="s">
        <v>11</v>
      </c>
      <c r="L73" s="61"/>
      <c r="M73" s="61"/>
      <c r="N73" s="61"/>
      <c r="O73" s="61"/>
      <c r="P73" s="61"/>
      <c r="Q73" s="61"/>
      <c r="R73" s="61"/>
      <c r="S73" s="61"/>
      <c r="T73" s="61"/>
      <c r="U73" s="61"/>
    </row>
    <row r="74" spans="2:21">
      <c r="G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</row>
    <row r="75" spans="2:21">
      <c r="G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</row>
    <row r="76" spans="2:21">
      <c r="G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</row>
    <row r="77" spans="2:21">
      <c r="G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</row>
    <row r="78" spans="2:21">
      <c r="G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</row>
    <row r="79" spans="2:21">
      <c r="G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</row>
    <row r="80" spans="2:21">
      <c r="G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</row>
    <row r="81" spans="7:21">
      <c r="G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</row>
    <row r="82" spans="7:21">
      <c r="G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</row>
    <row r="83" spans="7:21">
      <c r="G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</row>
    <row r="84" spans="7:21">
      <c r="G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</row>
    <row r="85" spans="7:21">
      <c r="G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</row>
    <row r="86" spans="7:21">
      <c r="G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</row>
    <row r="87" spans="7:21">
      <c r="G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</row>
    <row r="88" spans="7:21">
      <c r="G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</row>
    <row r="89" spans="7:21"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</row>
    <row r="90" spans="7:21"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</row>
    <row r="91" spans="7:21"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</row>
    <row r="92" spans="7:21"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</row>
    <row r="93" spans="7:21"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</row>
    <row r="94" spans="7:21"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</row>
    <row r="95" spans="7:21"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</row>
  </sheetData>
  <conditionalFormatting sqref="G64">
    <cfRule type="cellIs" dxfId="477" priority="6" operator="lessThan">
      <formula>25%</formula>
    </cfRule>
  </conditionalFormatting>
  <conditionalFormatting sqref="I53">
    <cfRule type="cellIs" dxfId="476" priority="10" stopIfTrue="1" operator="equal">
      <formula>0</formula>
    </cfRule>
    <cfRule type="cellIs" dxfId="475" priority="9" stopIfTrue="1" operator="notEqual">
      <formula>0</formula>
    </cfRule>
  </conditionalFormatting>
  <conditionalFormatting sqref="I58">
    <cfRule type="cellIs" dxfId="474" priority="2" stopIfTrue="1" operator="notEqual">
      <formula>0</formula>
    </cfRule>
    <cfRule type="cellIs" dxfId="473" priority="3" stopIfTrue="1" operator="equal">
      <formula>0</formula>
    </cfRule>
  </conditionalFormatting>
  <conditionalFormatting sqref="I64">
    <cfRule type="cellIs" dxfId="472" priority="7" stopIfTrue="1" operator="notEqual">
      <formula>0</formula>
    </cfRule>
    <cfRule type="cellIs" dxfId="471" priority="8" stopIfTrue="1" operator="equal">
      <formula>0</formula>
    </cfRule>
  </conditionalFormatting>
  <conditionalFormatting sqref="K24:K27">
    <cfRule type="cellIs" dxfId="470" priority="1" operator="notEqual">
      <formula>30</formula>
    </cfRule>
  </conditionalFormatting>
  <conditionalFormatting sqref="K34">
    <cfRule type="cellIs" dxfId="469" priority="12" operator="notEqual">
      <formula>4</formula>
    </cfRule>
  </conditionalFormatting>
  <conditionalFormatting sqref="K35:K44">
    <cfRule type="cellIs" dxfId="468" priority="5" operator="notEqual">
      <formula>0</formula>
    </cfRule>
  </conditionalFormatting>
  <conditionalFormatting sqref="K52">
    <cfRule type="cellIs" dxfId="467" priority="11" operator="notEqual">
      <formula>30</formula>
    </cfRule>
  </conditionalFormatting>
  <conditionalFormatting sqref="K57">
    <cfRule type="cellIs" dxfId="466" priority="4" operator="notEqual">
      <formula>30</formula>
    </cfRule>
  </conditionalFormatting>
  <pageMargins left="0.75000000000000011" right="0.75000000000000011" top="1" bottom="1" header="0.5" footer="0.5"/>
  <pageSetup paperSize="9" scale="52" orientation="portrait" horizontalDpi="4294967292" verticalDpi="429496729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DB1242-B594-8546-BFA3-C58494D86621}">
          <x14:formula1>
            <xm:f>'Dropdown content'!$D$6:$D$11</xm:f>
          </x14:formula1>
          <xm:sqref>E12</xm:sqref>
        </x14:dataValidation>
        <x14:dataValidation type="list" allowBlank="1" showInputMessage="1" showErrorMessage="1" xr:uid="{ADFC519B-37E9-8749-95D3-03F6CC847AB0}">
          <x14:formula1>
            <xm:f>'Dropdown content'!$D$2:$D$4</xm:f>
          </x14:formula1>
          <xm:sqref>E11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05"/>
  <sheetViews>
    <sheetView zoomScaleNormal="100" zoomScalePageLayoutView="125" workbookViewId="0">
      <pane ySplit="2" topLeftCell="A167" activePane="bottomLeft" state="frozen"/>
      <selection pane="bottomLeft" activeCell="B274" sqref="A274:B274"/>
    </sheetView>
  </sheetViews>
  <sheetFormatPr defaultColWidth="10.875" defaultRowHeight="12.95"/>
  <cols>
    <col min="1" max="1" width="6.875" style="106" customWidth="1"/>
    <col min="2" max="2" width="50.875" style="146" customWidth="1"/>
    <col min="3" max="3" width="2.375" style="107" customWidth="1"/>
    <col min="4" max="5" width="14.875" style="107" customWidth="1"/>
    <col min="6" max="6" width="15.375" style="107" customWidth="1"/>
    <col min="7" max="7" width="2.375" style="107" customWidth="1"/>
    <col min="8" max="8" width="17.875" style="107" customWidth="1"/>
    <col min="9" max="9" width="14.875" style="107" customWidth="1"/>
    <col min="10" max="10" width="12.5" style="107" customWidth="1"/>
    <col min="11" max="11" width="10.875" style="107"/>
    <col min="12" max="16384" width="10.875" style="146"/>
  </cols>
  <sheetData>
    <row r="1" spans="1:10">
      <c r="D1" s="65" t="s">
        <v>65</v>
      </c>
      <c r="E1" s="66">
        <v>1.3</v>
      </c>
      <c r="F1" s="147" t="s">
        <v>11</v>
      </c>
      <c r="G1" s="147"/>
      <c r="H1" s="148"/>
      <c r="I1" s="149"/>
      <c r="J1" s="149"/>
    </row>
    <row r="2" spans="1:10" ht="14.1" thickBot="1">
      <c r="A2" s="150"/>
      <c r="B2" s="68" t="s">
        <v>66</v>
      </c>
      <c r="C2" s="69"/>
      <c r="D2" s="69" t="s">
        <v>67</v>
      </c>
      <c r="E2" s="69" t="s">
        <v>29</v>
      </c>
      <c r="F2" s="69" t="s">
        <v>68</v>
      </c>
      <c r="G2" s="71"/>
      <c r="J2" s="151"/>
    </row>
    <row r="3" spans="1:10" ht="14.1" thickBot="1">
      <c r="B3" s="70"/>
      <c r="C3" s="71"/>
      <c r="D3" s="71"/>
      <c r="E3" s="71"/>
      <c r="F3" s="71"/>
      <c r="G3" s="71"/>
      <c r="H3" s="71"/>
      <c r="I3" s="71"/>
      <c r="J3" s="151"/>
    </row>
    <row r="4" spans="1:10">
      <c r="A4" s="152" t="s">
        <v>11</v>
      </c>
      <c r="B4" s="99" t="str">
        <f>'Budget show 1'!E4</f>
        <v>Name</v>
      </c>
      <c r="C4" s="80"/>
      <c r="D4" s="219" t="s">
        <v>69</v>
      </c>
      <c r="E4" s="220" t="s">
        <v>70</v>
      </c>
      <c r="F4" s="221"/>
      <c r="G4" s="153"/>
      <c r="H4" s="71"/>
      <c r="I4" s="71"/>
      <c r="J4" s="151"/>
    </row>
    <row r="5" spans="1:10">
      <c r="A5" s="152"/>
      <c r="B5" s="100" t="str">
        <f>'Budget show 1'!E5</f>
        <v>show</v>
      </c>
      <c r="C5" s="80"/>
      <c r="D5" s="222" t="s">
        <v>71</v>
      </c>
      <c r="E5" s="223" t="s">
        <v>72</v>
      </c>
      <c r="F5" s="224"/>
      <c r="G5" s="153"/>
      <c r="H5" s="71"/>
      <c r="I5" s="71"/>
      <c r="J5" s="151"/>
    </row>
    <row r="6" spans="1:10">
      <c r="A6" s="152"/>
      <c r="B6" s="100" t="str">
        <f>'Budget show 1'!E6</f>
        <v>Month ##-##, 2025</v>
      </c>
      <c r="C6" s="80"/>
      <c r="H6" s="71"/>
      <c r="I6" s="71"/>
      <c r="J6" s="151"/>
    </row>
    <row r="7" spans="1:10">
      <c r="A7" s="152"/>
      <c r="B7" s="100" t="str">
        <f>'Budget show 1'!E7</f>
        <v>Place, Country</v>
      </c>
      <c r="C7" s="80"/>
      <c r="D7" s="71"/>
      <c r="E7" s="71"/>
      <c r="F7" s="71"/>
      <c r="G7" s="71"/>
      <c r="H7" s="71"/>
      <c r="I7" s="71"/>
      <c r="J7" s="151"/>
    </row>
    <row r="8" spans="1:10" ht="14.1" thickBot="1">
      <c r="A8" s="152"/>
      <c r="B8" s="101" t="str">
        <f>'Budget show 1'!E8</f>
        <v>Project nummer (Hubspot)</v>
      </c>
      <c r="C8" s="80"/>
      <c r="D8" s="71"/>
      <c r="E8" s="71"/>
      <c r="F8" s="71"/>
      <c r="G8" s="71"/>
      <c r="H8" s="71"/>
      <c r="I8" s="71"/>
      <c r="J8" s="151"/>
    </row>
    <row r="9" spans="1:10">
      <c r="A9" s="152"/>
      <c r="B9" s="72"/>
      <c r="C9" s="80"/>
      <c r="D9" s="102" t="s">
        <v>73</v>
      </c>
      <c r="E9" s="103" t="s">
        <v>74</v>
      </c>
      <c r="F9" s="104" t="s">
        <v>75</v>
      </c>
      <c r="G9" s="155"/>
      <c r="H9" s="104" t="s">
        <v>76</v>
      </c>
      <c r="I9" s="105" t="s">
        <v>77</v>
      </c>
      <c r="J9" s="151"/>
    </row>
    <row r="10" spans="1:10">
      <c r="A10" s="116">
        <f>'Budget show 1'!E10</f>
        <v>0</v>
      </c>
      <c r="B10" s="73" t="s">
        <v>78</v>
      </c>
      <c r="C10" s="80"/>
      <c r="D10" s="136" t="s">
        <v>79</v>
      </c>
      <c r="E10" s="124" t="str">
        <f>'Budget show 1'!E14</f>
        <v>-</v>
      </c>
      <c r="F10" s="113" t="s">
        <v>80</v>
      </c>
      <c r="G10" s="156"/>
      <c r="H10" s="114">
        <v>0</v>
      </c>
      <c r="I10" s="115">
        <f>A10-H10</f>
        <v>0</v>
      </c>
      <c r="J10" s="151"/>
    </row>
    <row r="11" spans="1:10">
      <c r="B11" s="70"/>
      <c r="C11" s="80"/>
      <c r="H11" s="71"/>
      <c r="I11" s="71"/>
      <c r="J11" s="151"/>
    </row>
    <row r="12" spans="1:10">
      <c r="B12" s="157" t="s">
        <v>81</v>
      </c>
      <c r="C12" s="80"/>
    </row>
    <row r="13" spans="1:10">
      <c r="B13" s="72"/>
      <c r="C13" s="80"/>
    </row>
    <row r="14" spans="1:10">
      <c r="B14" s="73" t="s">
        <v>82</v>
      </c>
      <c r="C14" s="80"/>
      <c r="H14" s="293" t="s">
        <v>83</v>
      </c>
      <c r="I14" s="293" t="s">
        <v>77</v>
      </c>
    </row>
    <row r="15" spans="1:10">
      <c r="A15" s="153">
        <v>0</v>
      </c>
      <c r="B15" s="225" t="s">
        <v>84</v>
      </c>
      <c r="C15" s="80"/>
      <c r="D15" s="226">
        <v>0</v>
      </c>
      <c r="E15" s="328">
        <f t="shared" ref="E15:E22" si="0">F15-D15</f>
        <v>0</v>
      </c>
      <c r="F15" s="210">
        <f t="shared" ref="F15:F20" si="1">ROUNDUP((D15*fee/5),0)*5</f>
        <v>0</v>
      </c>
      <c r="G15" s="172"/>
      <c r="H15" s="294">
        <v>0</v>
      </c>
      <c r="I15" s="301">
        <f>F15-H15</f>
        <v>0</v>
      </c>
    </row>
    <row r="16" spans="1:10">
      <c r="A16" s="153">
        <v>0</v>
      </c>
      <c r="B16" s="227" t="s">
        <v>84</v>
      </c>
      <c r="C16" s="80"/>
      <c r="D16" s="228">
        <v>0</v>
      </c>
      <c r="E16" s="329">
        <f t="shared" si="0"/>
        <v>0</v>
      </c>
      <c r="F16" s="211">
        <f t="shared" si="1"/>
        <v>0</v>
      </c>
      <c r="G16" s="172"/>
      <c r="H16" s="249">
        <v>0</v>
      </c>
      <c r="I16" s="302">
        <f>F16-H16</f>
        <v>0</v>
      </c>
    </row>
    <row r="17" spans="1:11">
      <c r="A17" s="153">
        <v>0</v>
      </c>
      <c r="B17" s="227" t="s">
        <v>84</v>
      </c>
      <c r="C17" s="80"/>
      <c r="D17" s="228">
        <v>0</v>
      </c>
      <c r="E17" s="329">
        <f>F17-D17</f>
        <v>0</v>
      </c>
      <c r="F17" s="211">
        <f t="shared" si="1"/>
        <v>0</v>
      </c>
      <c r="G17" s="172"/>
      <c r="H17" s="249">
        <v>0</v>
      </c>
      <c r="I17" s="302">
        <f t="shared" ref="I17:I20" si="2">F17-H17</f>
        <v>0</v>
      </c>
    </row>
    <row r="18" spans="1:11">
      <c r="A18" s="153">
        <v>0</v>
      </c>
      <c r="B18" s="227" t="s">
        <v>84</v>
      </c>
      <c r="C18" s="80"/>
      <c r="D18" s="228">
        <v>0</v>
      </c>
      <c r="E18" s="329">
        <f t="shared" si="0"/>
        <v>0</v>
      </c>
      <c r="F18" s="211">
        <f t="shared" si="1"/>
        <v>0</v>
      </c>
      <c r="G18" s="172"/>
      <c r="H18" s="249">
        <v>0</v>
      </c>
      <c r="I18" s="302">
        <f t="shared" si="2"/>
        <v>0</v>
      </c>
    </row>
    <row r="19" spans="1:11">
      <c r="A19" s="153">
        <v>0</v>
      </c>
      <c r="B19" s="227" t="s">
        <v>84</v>
      </c>
      <c r="C19" s="80"/>
      <c r="D19" s="228">
        <v>0</v>
      </c>
      <c r="E19" s="329">
        <f t="shared" si="0"/>
        <v>0</v>
      </c>
      <c r="F19" s="211">
        <f t="shared" si="1"/>
        <v>0</v>
      </c>
      <c r="G19" s="172"/>
      <c r="H19" s="249">
        <v>0</v>
      </c>
      <c r="I19" s="302">
        <f t="shared" si="2"/>
        <v>0</v>
      </c>
    </row>
    <row r="20" spans="1:11">
      <c r="A20" s="106">
        <v>0</v>
      </c>
      <c r="B20" s="74" t="s">
        <v>84</v>
      </c>
      <c r="C20" s="80"/>
      <c r="D20" s="195">
        <v>0</v>
      </c>
      <c r="E20" s="329">
        <f t="shared" si="0"/>
        <v>0</v>
      </c>
      <c r="F20" s="211">
        <f t="shared" si="1"/>
        <v>0</v>
      </c>
      <c r="G20" s="172"/>
      <c r="H20" s="296">
        <v>0</v>
      </c>
      <c r="I20" s="303">
        <f t="shared" si="2"/>
        <v>0</v>
      </c>
    </row>
    <row r="21" spans="1:11">
      <c r="A21" s="153" t="s">
        <v>11</v>
      </c>
      <c r="B21" s="227" t="s">
        <v>11</v>
      </c>
      <c r="D21" s="162" t="s">
        <v>11</v>
      </c>
      <c r="E21" s="162" t="s">
        <v>11</v>
      </c>
      <c r="F21" s="162" t="s">
        <v>11</v>
      </c>
      <c r="G21" s="172"/>
      <c r="H21" s="85"/>
    </row>
    <row r="22" spans="1:11">
      <c r="A22" s="106">
        <v>0</v>
      </c>
      <c r="B22" s="117" t="s">
        <v>85</v>
      </c>
      <c r="D22" s="228">
        <v>0</v>
      </c>
      <c r="E22" s="211">
        <f t="shared" si="0"/>
        <v>0</v>
      </c>
      <c r="F22" s="195">
        <v>0</v>
      </c>
      <c r="G22" s="172"/>
      <c r="H22" s="310">
        <v>0</v>
      </c>
      <c r="I22" s="311">
        <f t="shared" ref="I22" si="3">F22-H22</f>
        <v>0</v>
      </c>
    </row>
    <row r="23" spans="1:11">
      <c r="A23" s="153" t="s">
        <v>11</v>
      </c>
      <c r="B23" s="227" t="s">
        <v>11</v>
      </c>
      <c r="D23" s="162" t="s">
        <v>11</v>
      </c>
      <c r="E23" s="162" t="s">
        <v>11</v>
      </c>
      <c r="F23" s="162" t="s">
        <v>11</v>
      </c>
      <c r="G23" s="172"/>
      <c r="H23" s="85"/>
    </row>
    <row r="24" spans="1:11">
      <c r="A24" s="106" t="s">
        <v>11</v>
      </c>
      <c r="B24" s="89" t="s">
        <v>11</v>
      </c>
      <c r="C24" s="107" t="s">
        <v>11</v>
      </c>
      <c r="D24" s="164" t="s">
        <v>11</v>
      </c>
      <c r="E24" s="162" t="s">
        <v>11</v>
      </c>
      <c r="F24" s="162" t="s">
        <v>11</v>
      </c>
      <c r="G24" s="172"/>
      <c r="I24" s="146"/>
    </row>
    <row r="25" spans="1:11">
      <c r="B25" s="97" t="str">
        <f>B14</f>
        <v>Floor</v>
      </c>
      <c r="C25" s="80"/>
      <c r="D25" s="212">
        <f>SUM(D15:D24)</f>
        <v>0</v>
      </c>
      <c r="E25" s="212">
        <f>SUM(E15:E24)</f>
        <v>0</v>
      </c>
      <c r="F25" s="179">
        <f>SUM(F15:F24)</f>
        <v>0</v>
      </c>
      <c r="G25" s="174"/>
      <c r="H25" s="315">
        <f>SUM(H15:H24)</f>
        <v>0</v>
      </c>
      <c r="I25" s="230">
        <f>F25-H25</f>
        <v>0</v>
      </c>
    </row>
    <row r="26" spans="1:11">
      <c r="B26" s="175" t="s">
        <v>11</v>
      </c>
      <c r="C26" s="80"/>
      <c r="D26" s="172"/>
      <c r="E26" s="172"/>
      <c r="F26" s="172"/>
      <c r="G26" s="172"/>
      <c r="K26" s="176" t="s">
        <v>11</v>
      </c>
    </row>
    <row r="27" spans="1:11">
      <c r="B27" s="175"/>
      <c r="C27" s="80"/>
      <c r="D27" s="172"/>
      <c r="E27" s="172"/>
      <c r="F27" s="172"/>
      <c r="G27" s="172"/>
    </row>
    <row r="28" spans="1:11">
      <c r="B28" s="73" t="s">
        <v>86</v>
      </c>
      <c r="C28" s="80"/>
      <c r="D28" s="172"/>
      <c r="E28" s="172"/>
      <c r="F28" s="335"/>
      <c r="G28" s="172"/>
      <c r="H28" s="293" t="s">
        <v>83</v>
      </c>
      <c r="I28" s="293" t="s">
        <v>77</v>
      </c>
    </row>
    <row r="29" spans="1:11">
      <c r="A29" s="153">
        <v>0</v>
      </c>
      <c r="B29" s="225" t="s">
        <v>84</v>
      </c>
      <c r="D29" s="170">
        <v>0</v>
      </c>
      <c r="E29" s="210">
        <f t="shared" ref="E29:E37" si="4">F29-D29</f>
        <v>0</v>
      </c>
      <c r="F29" s="211">
        <f t="shared" ref="F29:F37" si="5">ROUNDUP((D29*fee/5),0)*5</f>
        <v>0</v>
      </c>
      <c r="G29" s="172"/>
      <c r="H29" s="294">
        <v>0</v>
      </c>
      <c r="I29" s="301">
        <f>F29-H29</f>
        <v>0</v>
      </c>
    </row>
    <row r="30" spans="1:11">
      <c r="A30" s="153">
        <v>0</v>
      </c>
      <c r="B30" s="227" t="s">
        <v>84</v>
      </c>
      <c r="D30" s="173">
        <v>0</v>
      </c>
      <c r="E30" s="211">
        <f t="shared" si="4"/>
        <v>0</v>
      </c>
      <c r="F30" s="211">
        <f t="shared" si="5"/>
        <v>0</v>
      </c>
      <c r="G30" s="172"/>
      <c r="H30" s="249">
        <v>0</v>
      </c>
      <c r="I30" s="302">
        <f>F30-H30</f>
        <v>0</v>
      </c>
    </row>
    <row r="31" spans="1:11">
      <c r="A31" s="153">
        <v>0</v>
      </c>
      <c r="B31" s="227" t="s">
        <v>84</v>
      </c>
      <c r="D31" s="173">
        <v>0</v>
      </c>
      <c r="E31" s="211">
        <f t="shared" si="4"/>
        <v>0</v>
      </c>
      <c r="F31" s="211">
        <f t="shared" si="5"/>
        <v>0</v>
      </c>
      <c r="G31" s="172"/>
      <c r="H31" s="249">
        <v>0</v>
      </c>
      <c r="I31" s="302">
        <f t="shared" ref="I31:I33" si="6">F31-H31</f>
        <v>0</v>
      </c>
    </row>
    <row r="32" spans="1:11">
      <c r="A32" s="153">
        <v>0</v>
      </c>
      <c r="B32" s="227" t="s">
        <v>84</v>
      </c>
      <c r="D32" s="173">
        <v>0</v>
      </c>
      <c r="E32" s="211">
        <f t="shared" si="4"/>
        <v>0</v>
      </c>
      <c r="F32" s="211">
        <f t="shared" si="5"/>
        <v>0</v>
      </c>
      <c r="G32" s="172"/>
      <c r="H32" s="249">
        <v>0</v>
      </c>
      <c r="I32" s="302">
        <f t="shared" si="6"/>
        <v>0</v>
      </c>
    </row>
    <row r="33" spans="1:11">
      <c r="A33" s="153">
        <v>0</v>
      </c>
      <c r="B33" s="227" t="s">
        <v>84</v>
      </c>
      <c r="D33" s="173">
        <v>0</v>
      </c>
      <c r="E33" s="211">
        <f t="shared" si="4"/>
        <v>0</v>
      </c>
      <c r="F33" s="211">
        <f t="shared" si="5"/>
        <v>0</v>
      </c>
      <c r="G33" s="172"/>
      <c r="H33" s="249">
        <v>0</v>
      </c>
      <c r="I33" s="302">
        <f t="shared" si="6"/>
        <v>0</v>
      </c>
    </row>
    <row r="34" spans="1:11">
      <c r="A34" s="153">
        <v>0</v>
      </c>
      <c r="B34" s="227" t="s">
        <v>84</v>
      </c>
      <c r="D34" s="173">
        <v>0</v>
      </c>
      <c r="E34" s="211">
        <f t="shared" si="4"/>
        <v>0</v>
      </c>
      <c r="F34" s="211">
        <f t="shared" si="5"/>
        <v>0</v>
      </c>
      <c r="G34" s="172"/>
      <c r="H34" s="249">
        <v>0</v>
      </c>
      <c r="I34" s="302">
        <f t="shared" ref="I34:I37" si="7">F34-H34</f>
        <v>0</v>
      </c>
    </row>
    <row r="35" spans="1:11">
      <c r="A35" s="153">
        <v>0</v>
      </c>
      <c r="B35" s="227" t="s">
        <v>84</v>
      </c>
      <c r="D35" s="173">
        <v>0</v>
      </c>
      <c r="E35" s="211">
        <f t="shared" si="4"/>
        <v>0</v>
      </c>
      <c r="F35" s="211">
        <f t="shared" si="5"/>
        <v>0</v>
      </c>
      <c r="G35" s="172"/>
      <c r="H35" s="249">
        <v>0</v>
      </c>
      <c r="I35" s="302">
        <f t="shared" si="7"/>
        <v>0</v>
      </c>
    </row>
    <row r="36" spans="1:11">
      <c r="A36" s="153">
        <v>0</v>
      </c>
      <c r="B36" s="227" t="s">
        <v>84</v>
      </c>
      <c r="D36" s="173">
        <v>0</v>
      </c>
      <c r="E36" s="211">
        <f t="shared" si="4"/>
        <v>0</v>
      </c>
      <c r="F36" s="211">
        <f t="shared" si="5"/>
        <v>0</v>
      </c>
      <c r="G36" s="172"/>
      <c r="H36" s="249">
        <v>0</v>
      </c>
      <c r="I36" s="302">
        <f t="shared" si="7"/>
        <v>0</v>
      </c>
    </row>
    <row r="37" spans="1:11">
      <c r="A37" s="153">
        <v>0</v>
      </c>
      <c r="B37" s="227" t="s">
        <v>84</v>
      </c>
      <c r="D37" s="173">
        <v>0</v>
      </c>
      <c r="E37" s="211">
        <f t="shared" si="4"/>
        <v>0</v>
      </c>
      <c r="F37" s="211">
        <f t="shared" si="5"/>
        <v>0</v>
      </c>
      <c r="G37" s="172"/>
      <c r="H37" s="296">
        <v>0</v>
      </c>
      <c r="I37" s="303">
        <f t="shared" si="7"/>
        <v>0</v>
      </c>
    </row>
    <row r="38" spans="1:11">
      <c r="A38" s="153" t="s">
        <v>11</v>
      </c>
      <c r="B38" s="227" t="s">
        <v>11</v>
      </c>
      <c r="D38" s="162" t="s">
        <v>11</v>
      </c>
      <c r="E38" s="162" t="s">
        <v>11</v>
      </c>
      <c r="F38" s="162" t="s">
        <v>11</v>
      </c>
      <c r="G38" s="172"/>
      <c r="H38" s="169"/>
    </row>
    <row r="39" spans="1:11">
      <c r="A39" s="106">
        <v>0</v>
      </c>
      <c r="B39" s="117" t="s">
        <v>85</v>
      </c>
      <c r="D39" s="228">
        <v>0</v>
      </c>
      <c r="E39" s="211">
        <f t="shared" ref="E39" si="8">F39-D39</f>
        <v>0</v>
      </c>
      <c r="F39" s="195">
        <v>0</v>
      </c>
      <c r="G39" s="172"/>
      <c r="H39" s="310">
        <v>0</v>
      </c>
      <c r="I39" s="311">
        <f t="shared" ref="I39" si="9">F39-H39</f>
        <v>0</v>
      </c>
    </row>
    <row r="40" spans="1:11">
      <c r="B40" s="89"/>
      <c r="D40" s="164"/>
      <c r="E40" s="164"/>
      <c r="F40" s="164"/>
      <c r="G40" s="172"/>
      <c r="I40" s="146"/>
    </row>
    <row r="41" spans="1:11">
      <c r="B41" s="97" t="str">
        <f>B28</f>
        <v>Walls</v>
      </c>
      <c r="C41" s="80"/>
      <c r="D41" s="213">
        <f>SUM(D29:D40)</f>
        <v>0</v>
      </c>
      <c r="E41" s="213">
        <f>SUM(E29:E40)</f>
        <v>0</v>
      </c>
      <c r="F41" s="182">
        <f>SUM(F29:F40)</f>
        <v>0</v>
      </c>
      <c r="G41" s="174"/>
      <c r="H41" s="315">
        <f>SUM(H29:H40)</f>
        <v>0</v>
      </c>
      <c r="I41" s="230">
        <f>F41-H41</f>
        <v>0</v>
      </c>
    </row>
    <row r="42" spans="1:11">
      <c r="B42" s="175" t="s">
        <v>11</v>
      </c>
      <c r="C42" s="80"/>
      <c r="D42" s="172"/>
      <c r="E42" s="172"/>
      <c r="F42" s="172"/>
      <c r="G42" s="172"/>
      <c r="J42" s="178" t="s">
        <v>11</v>
      </c>
      <c r="K42" s="176" t="s">
        <v>11</v>
      </c>
    </row>
    <row r="43" spans="1:11">
      <c r="B43" s="175"/>
      <c r="C43" s="80"/>
      <c r="D43" s="172"/>
      <c r="E43" s="172"/>
      <c r="F43" s="172"/>
      <c r="G43" s="172"/>
    </row>
    <row r="44" spans="1:11">
      <c r="B44" s="73" t="s">
        <v>87</v>
      </c>
      <c r="C44" s="80"/>
      <c r="D44" s="172"/>
      <c r="E44" s="172"/>
      <c r="F44" s="335"/>
      <c r="G44" s="172"/>
      <c r="H44" s="293" t="s">
        <v>83</v>
      </c>
      <c r="I44" s="293" t="s">
        <v>77</v>
      </c>
    </row>
    <row r="45" spans="1:11">
      <c r="A45" s="158">
        <v>0</v>
      </c>
      <c r="B45" s="159" t="s">
        <v>84</v>
      </c>
      <c r="C45" s="107" t="s">
        <v>11</v>
      </c>
      <c r="D45" s="170">
        <v>0</v>
      </c>
      <c r="E45" s="210">
        <f>F45-D45</f>
        <v>0</v>
      </c>
      <c r="F45" s="211">
        <f t="shared" ref="F45:F47" si="10">ROUNDUP((D45*fee/5),0)*5</f>
        <v>0</v>
      </c>
      <c r="G45" s="172"/>
      <c r="H45" s="294">
        <v>0</v>
      </c>
      <c r="I45" s="301">
        <f>F45-H45</f>
        <v>0</v>
      </c>
    </row>
    <row r="46" spans="1:11">
      <c r="A46" s="153">
        <v>0</v>
      </c>
      <c r="B46" s="227" t="s">
        <v>84</v>
      </c>
      <c r="D46" s="173">
        <v>0</v>
      </c>
      <c r="E46" s="211">
        <f t="shared" ref="E46:E47" si="11">F46-D46</f>
        <v>0</v>
      </c>
      <c r="F46" s="211">
        <f t="shared" si="10"/>
        <v>0</v>
      </c>
      <c r="G46" s="172"/>
      <c r="H46" s="249">
        <v>0</v>
      </c>
      <c r="I46" s="302">
        <f>F46-H46</f>
        <v>0</v>
      </c>
    </row>
    <row r="47" spans="1:11">
      <c r="A47" s="153">
        <v>0</v>
      </c>
      <c r="B47" s="227" t="s">
        <v>84</v>
      </c>
      <c r="D47" s="173">
        <v>0</v>
      </c>
      <c r="E47" s="211">
        <f t="shared" si="11"/>
        <v>0</v>
      </c>
      <c r="F47" s="211">
        <f t="shared" si="10"/>
        <v>0</v>
      </c>
      <c r="G47" s="172"/>
      <c r="H47" s="249">
        <v>0</v>
      </c>
      <c r="I47" s="302">
        <f t="shared" ref="I47" si="12">F47-H47</f>
        <v>0</v>
      </c>
    </row>
    <row r="48" spans="1:11">
      <c r="B48" s="74"/>
      <c r="D48" s="164"/>
      <c r="E48" s="164"/>
      <c r="F48" s="164"/>
      <c r="G48" s="172"/>
    </row>
    <row r="49" spans="1:11">
      <c r="B49" s="97" t="str">
        <f>B44</f>
        <v>Rigging</v>
      </c>
      <c r="C49" s="80"/>
      <c r="D49" s="212">
        <f>SUM(D45:D48)</f>
        <v>0</v>
      </c>
      <c r="E49" s="212">
        <f>SUM(E45:E48)</f>
        <v>0</v>
      </c>
      <c r="F49" s="179">
        <f>SUM(F45:F48)</f>
        <v>0</v>
      </c>
      <c r="G49" s="174"/>
      <c r="H49" s="315">
        <f>SUM(H45:H48)</f>
        <v>0</v>
      </c>
      <c r="I49" s="230">
        <f>F49-H49</f>
        <v>0</v>
      </c>
      <c r="J49" s="178" t="s">
        <v>11</v>
      </c>
      <c r="K49" s="176" t="s">
        <v>11</v>
      </c>
    </row>
    <row r="50" spans="1:11">
      <c r="B50" s="175"/>
      <c r="C50" s="80"/>
      <c r="D50" s="172"/>
      <c r="E50" s="172"/>
      <c r="F50" s="172"/>
      <c r="G50" s="172"/>
    </row>
    <row r="51" spans="1:11">
      <c r="B51" s="175"/>
      <c r="C51" s="80"/>
      <c r="D51" s="172"/>
      <c r="E51" s="172"/>
      <c r="F51" s="172"/>
      <c r="G51" s="172"/>
    </row>
    <row r="52" spans="1:11">
      <c r="B52" s="73" t="s">
        <v>88</v>
      </c>
      <c r="C52" s="80"/>
      <c r="D52" s="172"/>
      <c r="E52" s="172"/>
      <c r="F52" s="335"/>
      <c r="G52" s="172"/>
      <c r="H52" s="293" t="s">
        <v>83</v>
      </c>
      <c r="I52" s="293" t="s">
        <v>77</v>
      </c>
    </row>
    <row r="53" spans="1:11">
      <c r="A53" s="153">
        <v>0</v>
      </c>
      <c r="B53" s="225" t="s">
        <v>84</v>
      </c>
      <c r="D53" s="170">
        <v>0</v>
      </c>
      <c r="E53" s="210">
        <f>F53-D53</f>
        <v>0</v>
      </c>
      <c r="F53" s="211">
        <f t="shared" ref="F53:F66" si="13">ROUNDUP((D53*fee/5),0)*5</f>
        <v>0</v>
      </c>
      <c r="G53" s="172"/>
      <c r="H53" s="294">
        <v>0</v>
      </c>
      <c r="I53" s="301">
        <f>F53-H53</f>
        <v>0</v>
      </c>
    </row>
    <row r="54" spans="1:11">
      <c r="A54" s="153">
        <v>0</v>
      </c>
      <c r="B54" s="227" t="s">
        <v>84</v>
      </c>
      <c r="D54" s="173">
        <v>0</v>
      </c>
      <c r="E54" s="211">
        <f>F54-D54</f>
        <v>0</v>
      </c>
      <c r="F54" s="211">
        <f t="shared" si="13"/>
        <v>0</v>
      </c>
      <c r="G54" s="172"/>
      <c r="H54" s="249">
        <v>0</v>
      </c>
      <c r="I54" s="302">
        <f>F54-H54</f>
        <v>0</v>
      </c>
    </row>
    <row r="55" spans="1:11">
      <c r="A55" s="153">
        <v>0</v>
      </c>
      <c r="B55" s="227" t="s">
        <v>84</v>
      </c>
      <c r="D55" s="173">
        <v>0</v>
      </c>
      <c r="E55" s="211">
        <f>F55-D55</f>
        <v>0</v>
      </c>
      <c r="F55" s="211">
        <f t="shared" si="13"/>
        <v>0</v>
      </c>
      <c r="G55" s="172"/>
      <c r="H55" s="249">
        <v>0</v>
      </c>
      <c r="I55" s="302">
        <f t="shared" ref="I55:I59" si="14">F55-H55</f>
        <v>0</v>
      </c>
    </row>
    <row r="56" spans="1:11">
      <c r="A56" s="153">
        <v>0</v>
      </c>
      <c r="B56" s="227" t="s">
        <v>84</v>
      </c>
      <c r="D56" s="173">
        <v>0</v>
      </c>
      <c r="E56" s="211">
        <f t="shared" ref="E56:E62" si="15">F56-D56</f>
        <v>0</v>
      </c>
      <c r="F56" s="211">
        <f t="shared" si="13"/>
        <v>0</v>
      </c>
      <c r="G56" s="172"/>
      <c r="H56" s="249">
        <v>0</v>
      </c>
      <c r="I56" s="302">
        <f t="shared" si="14"/>
        <v>0</v>
      </c>
    </row>
    <row r="57" spans="1:11">
      <c r="A57" s="153">
        <v>0</v>
      </c>
      <c r="B57" s="227" t="s">
        <v>84</v>
      </c>
      <c r="D57" s="173">
        <v>0</v>
      </c>
      <c r="E57" s="211">
        <f t="shared" si="15"/>
        <v>0</v>
      </c>
      <c r="F57" s="211">
        <f t="shared" si="13"/>
        <v>0</v>
      </c>
      <c r="G57" s="172"/>
      <c r="H57" s="249">
        <v>0</v>
      </c>
      <c r="I57" s="302">
        <f t="shared" si="14"/>
        <v>0</v>
      </c>
    </row>
    <row r="58" spans="1:11">
      <c r="A58" s="153">
        <v>0</v>
      </c>
      <c r="B58" s="227" t="s">
        <v>84</v>
      </c>
      <c r="D58" s="173">
        <v>0</v>
      </c>
      <c r="E58" s="211">
        <f t="shared" si="15"/>
        <v>0</v>
      </c>
      <c r="F58" s="211">
        <f t="shared" si="13"/>
        <v>0</v>
      </c>
      <c r="G58" s="172"/>
      <c r="H58" s="249">
        <v>0</v>
      </c>
      <c r="I58" s="302">
        <f t="shared" si="14"/>
        <v>0</v>
      </c>
    </row>
    <row r="59" spans="1:11">
      <c r="A59" s="153">
        <v>0</v>
      </c>
      <c r="B59" s="227" t="s">
        <v>84</v>
      </c>
      <c r="D59" s="173">
        <v>0</v>
      </c>
      <c r="E59" s="211">
        <f t="shared" si="15"/>
        <v>0</v>
      </c>
      <c r="F59" s="211">
        <f t="shared" si="13"/>
        <v>0</v>
      </c>
      <c r="G59" s="172"/>
      <c r="H59" s="249">
        <v>0</v>
      </c>
      <c r="I59" s="302">
        <f t="shared" si="14"/>
        <v>0</v>
      </c>
    </row>
    <row r="60" spans="1:11">
      <c r="A60" s="153">
        <v>0</v>
      </c>
      <c r="B60" s="227" t="s">
        <v>84</v>
      </c>
      <c r="D60" s="173">
        <v>0</v>
      </c>
      <c r="E60" s="211">
        <f t="shared" si="15"/>
        <v>0</v>
      </c>
      <c r="F60" s="211">
        <f t="shared" si="13"/>
        <v>0</v>
      </c>
      <c r="G60" s="172"/>
      <c r="H60" s="249">
        <v>0</v>
      </c>
      <c r="I60" s="302">
        <f t="shared" ref="I60:I64" si="16">F60-H60</f>
        <v>0</v>
      </c>
    </row>
    <row r="61" spans="1:11">
      <c r="A61" s="153">
        <v>0</v>
      </c>
      <c r="B61" s="227" t="s">
        <v>84</v>
      </c>
      <c r="D61" s="173">
        <v>0</v>
      </c>
      <c r="E61" s="211">
        <f t="shared" si="15"/>
        <v>0</v>
      </c>
      <c r="F61" s="211">
        <f t="shared" si="13"/>
        <v>0</v>
      </c>
      <c r="G61" s="172"/>
      <c r="H61" s="249">
        <v>0</v>
      </c>
      <c r="I61" s="302">
        <f t="shared" si="16"/>
        <v>0</v>
      </c>
    </row>
    <row r="62" spans="1:11">
      <c r="A62" s="153">
        <v>0</v>
      </c>
      <c r="B62" s="227" t="s">
        <v>84</v>
      </c>
      <c r="D62" s="173">
        <v>0</v>
      </c>
      <c r="E62" s="211">
        <f t="shared" si="15"/>
        <v>0</v>
      </c>
      <c r="F62" s="211">
        <f t="shared" si="13"/>
        <v>0</v>
      </c>
      <c r="G62" s="172"/>
      <c r="H62" s="249">
        <v>0</v>
      </c>
      <c r="I62" s="302">
        <f t="shared" si="16"/>
        <v>0</v>
      </c>
    </row>
    <row r="63" spans="1:11">
      <c r="A63" s="153">
        <v>0</v>
      </c>
      <c r="B63" s="227" t="s">
        <v>84</v>
      </c>
      <c r="D63" s="173">
        <v>0</v>
      </c>
      <c r="E63" s="211">
        <f t="shared" ref="E63:E66" si="17">F63-D63</f>
        <v>0</v>
      </c>
      <c r="F63" s="211">
        <f t="shared" si="13"/>
        <v>0</v>
      </c>
      <c r="G63" s="172"/>
      <c r="H63" s="249">
        <v>0</v>
      </c>
      <c r="I63" s="302">
        <f t="shared" si="16"/>
        <v>0</v>
      </c>
    </row>
    <row r="64" spans="1:11">
      <c r="A64" s="153">
        <v>0</v>
      </c>
      <c r="B64" s="227" t="s">
        <v>84</v>
      </c>
      <c r="D64" s="173">
        <v>0</v>
      </c>
      <c r="E64" s="211">
        <f t="shared" si="17"/>
        <v>0</v>
      </c>
      <c r="F64" s="211">
        <f t="shared" si="13"/>
        <v>0</v>
      </c>
      <c r="G64" s="172"/>
      <c r="H64" s="249">
        <v>0</v>
      </c>
      <c r="I64" s="302">
        <f t="shared" si="16"/>
        <v>0</v>
      </c>
    </row>
    <row r="65" spans="1:11">
      <c r="A65" s="153">
        <v>0</v>
      </c>
      <c r="B65" s="227" t="s">
        <v>84</v>
      </c>
      <c r="D65" s="173">
        <v>0</v>
      </c>
      <c r="E65" s="211">
        <f t="shared" si="17"/>
        <v>0</v>
      </c>
      <c r="F65" s="211">
        <f t="shared" si="13"/>
        <v>0</v>
      </c>
      <c r="G65" s="172"/>
      <c r="H65" s="249">
        <v>0</v>
      </c>
      <c r="I65" s="302">
        <f>F65-H65</f>
        <v>0</v>
      </c>
    </row>
    <row r="66" spans="1:11">
      <c r="A66" s="153">
        <v>0</v>
      </c>
      <c r="B66" s="227" t="s">
        <v>84</v>
      </c>
      <c r="D66" s="173">
        <v>0</v>
      </c>
      <c r="E66" s="211">
        <f t="shared" si="17"/>
        <v>0</v>
      </c>
      <c r="F66" s="211">
        <f t="shared" si="13"/>
        <v>0</v>
      </c>
      <c r="G66" s="172"/>
      <c r="H66" s="249">
        <v>0</v>
      </c>
      <c r="I66" s="302">
        <f t="shared" ref="I66" si="18">F66-H66</f>
        <v>0</v>
      </c>
    </row>
    <row r="67" spans="1:11">
      <c r="B67" s="89"/>
      <c r="D67" s="164"/>
      <c r="E67" s="164"/>
      <c r="F67" s="164"/>
      <c r="G67" s="172"/>
    </row>
    <row r="68" spans="1:11">
      <c r="B68" s="97" t="str">
        <f>B52</f>
        <v>Pantry</v>
      </c>
      <c r="C68" s="80"/>
      <c r="D68" s="212">
        <f>SUM(D53:D66)</f>
        <v>0</v>
      </c>
      <c r="E68" s="212">
        <f>SUM(E53:E66)</f>
        <v>0</v>
      </c>
      <c r="F68" s="179">
        <f>SUM(F53:F66)</f>
        <v>0</v>
      </c>
      <c r="G68" s="174"/>
      <c r="H68" s="315">
        <f>SUM(H53:H67)</f>
        <v>0</v>
      </c>
      <c r="I68" s="230">
        <f>F68-H68</f>
        <v>0</v>
      </c>
    </row>
    <row r="69" spans="1:11">
      <c r="B69" s="175" t="s">
        <v>11</v>
      </c>
      <c r="C69" s="80"/>
      <c r="D69" s="172"/>
      <c r="E69" s="172"/>
      <c r="F69" s="172"/>
      <c r="G69" s="172"/>
      <c r="J69" s="178" t="s">
        <v>11</v>
      </c>
      <c r="K69" s="176" t="s">
        <v>11</v>
      </c>
    </row>
    <row r="70" spans="1:11">
      <c r="B70" s="175"/>
      <c r="C70" s="80"/>
      <c r="D70" s="172"/>
      <c r="E70" s="172"/>
      <c r="F70" s="172"/>
      <c r="G70" s="172"/>
    </row>
    <row r="71" spans="1:11">
      <c r="B71" s="73" t="s">
        <v>89</v>
      </c>
      <c r="C71" s="80"/>
      <c r="D71" s="172"/>
      <c r="E71" s="172"/>
      <c r="F71" s="335"/>
      <c r="G71" s="172"/>
      <c r="H71" s="293" t="s">
        <v>83</v>
      </c>
      <c r="I71" s="293" t="s">
        <v>77</v>
      </c>
    </row>
    <row r="72" spans="1:11">
      <c r="A72" s="106">
        <v>0</v>
      </c>
      <c r="B72" s="227" t="s">
        <v>84</v>
      </c>
      <c r="D72" s="170">
        <v>0</v>
      </c>
      <c r="E72" s="210">
        <f t="shared" ref="E72:E83" si="19">F72-D72</f>
        <v>0</v>
      </c>
      <c r="F72" s="211">
        <f t="shared" ref="F72:F83" si="20">ROUNDUP((D72*fee/5),0)*5</f>
        <v>0</v>
      </c>
      <c r="G72" s="172"/>
      <c r="H72" s="294">
        <v>0</v>
      </c>
      <c r="I72" s="301">
        <f>F72-H72</f>
        <v>0</v>
      </c>
    </row>
    <row r="73" spans="1:11">
      <c r="A73" s="106">
        <v>0</v>
      </c>
      <c r="B73" s="227" t="s">
        <v>84</v>
      </c>
      <c r="D73" s="173">
        <v>0</v>
      </c>
      <c r="E73" s="211">
        <f t="shared" si="19"/>
        <v>0</v>
      </c>
      <c r="F73" s="211">
        <f t="shared" si="20"/>
        <v>0</v>
      </c>
      <c r="G73" s="172"/>
      <c r="H73" s="249">
        <v>0</v>
      </c>
      <c r="I73" s="302">
        <f>F73-H73</f>
        <v>0</v>
      </c>
    </row>
    <row r="74" spans="1:11">
      <c r="A74" s="106">
        <v>0</v>
      </c>
      <c r="B74" s="227" t="s">
        <v>84</v>
      </c>
      <c r="D74" s="173">
        <v>0</v>
      </c>
      <c r="E74" s="211">
        <f t="shared" si="19"/>
        <v>0</v>
      </c>
      <c r="F74" s="211">
        <f t="shared" si="20"/>
        <v>0</v>
      </c>
      <c r="G74" s="172"/>
      <c r="H74" s="249">
        <v>0</v>
      </c>
      <c r="I74" s="302">
        <f t="shared" ref="I74:I77" si="21">F74-H74</f>
        <v>0</v>
      </c>
    </row>
    <row r="75" spans="1:11">
      <c r="A75" s="106">
        <v>0</v>
      </c>
      <c r="B75" s="227" t="s">
        <v>84</v>
      </c>
      <c r="D75" s="173">
        <v>0</v>
      </c>
      <c r="E75" s="211">
        <f t="shared" si="19"/>
        <v>0</v>
      </c>
      <c r="F75" s="211">
        <f t="shared" si="20"/>
        <v>0</v>
      </c>
      <c r="G75" s="172"/>
      <c r="H75" s="249">
        <v>0</v>
      </c>
      <c r="I75" s="302">
        <f t="shared" si="21"/>
        <v>0</v>
      </c>
    </row>
    <row r="76" spans="1:11">
      <c r="A76" s="106">
        <v>0</v>
      </c>
      <c r="B76" s="227" t="s">
        <v>84</v>
      </c>
      <c r="D76" s="173">
        <v>0</v>
      </c>
      <c r="E76" s="211">
        <f t="shared" si="19"/>
        <v>0</v>
      </c>
      <c r="F76" s="211">
        <f t="shared" si="20"/>
        <v>0</v>
      </c>
      <c r="G76" s="172"/>
      <c r="H76" s="249">
        <v>0</v>
      </c>
      <c r="I76" s="302">
        <f t="shared" si="21"/>
        <v>0</v>
      </c>
    </row>
    <row r="77" spans="1:11">
      <c r="A77" s="106">
        <v>0</v>
      </c>
      <c r="B77" s="227" t="s">
        <v>84</v>
      </c>
      <c r="D77" s="173">
        <v>0</v>
      </c>
      <c r="E77" s="211">
        <f t="shared" si="19"/>
        <v>0</v>
      </c>
      <c r="F77" s="211">
        <f t="shared" si="20"/>
        <v>0</v>
      </c>
      <c r="G77" s="172"/>
      <c r="H77" s="249">
        <v>0</v>
      </c>
      <c r="I77" s="302">
        <f t="shared" si="21"/>
        <v>0</v>
      </c>
    </row>
    <row r="78" spans="1:11">
      <c r="A78" s="106">
        <v>0</v>
      </c>
      <c r="B78" s="227" t="s">
        <v>84</v>
      </c>
      <c r="D78" s="173">
        <v>0</v>
      </c>
      <c r="E78" s="211">
        <f t="shared" si="19"/>
        <v>0</v>
      </c>
      <c r="F78" s="211">
        <f t="shared" si="20"/>
        <v>0</v>
      </c>
      <c r="G78" s="172"/>
      <c r="H78" s="249">
        <v>0</v>
      </c>
      <c r="I78" s="302">
        <f>F78-H78</f>
        <v>0</v>
      </c>
    </row>
    <row r="79" spans="1:11">
      <c r="A79" s="106">
        <v>0</v>
      </c>
      <c r="B79" s="227" t="s">
        <v>84</v>
      </c>
      <c r="D79" s="173">
        <v>0</v>
      </c>
      <c r="E79" s="211">
        <f t="shared" si="19"/>
        <v>0</v>
      </c>
      <c r="F79" s="211">
        <f t="shared" si="20"/>
        <v>0</v>
      </c>
      <c r="G79" s="172"/>
      <c r="H79" s="249">
        <v>0</v>
      </c>
      <c r="I79" s="302">
        <f t="shared" ref="I79:I82" si="22">F79-H79</f>
        <v>0</v>
      </c>
    </row>
    <row r="80" spans="1:11">
      <c r="A80" s="106">
        <v>0</v>
      </c>
      <c r="B80" s="227" t="s">
        <v>84</v>
      </c>
      <c r="D80" s="173">
        <v>0</v>
      </c>
      <c r="E80" s="211">
        <f t="shared" si="19"/>
        <v>0</v>
      </c>
      <c r="F80" s="211">
        <f t="shared" si="20"/>
        <v>0</v>
      </c>
      <c r="G80" s="172"/>
      <c r="H80" s="249">
        <v>0</v>
      </c>
      <c r="I80" s="302">
        <f t="shared" si="22"/>
        <v>0</v>
      </c>
    </row>
    <row r="81" spans="1:12">
      <c r="A81" s="106">
        <v>0</v>
      </c>
      <c r="B81" s="227" t="s">
        <v>84</v>
      </c>
      <c r="D81" s="173">
        <v>0</v>
      </c>
      <c r="E81" s="211">
        <f t="shared" si="19"/>
        <v>0</v>
      </c>
      <c r="F81" s="211">
        <f t="shared" si="20"/>
        <v>0</v>
      </c>
      <c r="G81" s="172"/>
      <c r="H81" s="249">
        <v>0</v>
      </c>
      <c r="I81" s="302">
        <f t="shared" si="22"/>
        <v>0</v>
      </c>
    </row>
    <row r="82" spans="1:12">
      <c r="A82" s="106">
        <v>0</v>
      </c>
      <c r="B82" s="227" t="s">
        <v>84</v>
      </c>
      <c r="D82" s="173">
        <v>0</v>
      </c>
      <c r="E82" s="211">
        <f t="shared" si="19"/>
        <v>0</v>
      </c>
      <c r="F82" s="211">
        <f t="shared" si="20"/>
        <v>0</v>
      </c>
      <c r="G82" s="172"/>
      <c r="H82" s="249">
        <v>0</v>
      </c>
      <c r="I82" s="302">
        <f t="shared" si="22"/>
        <v>0</v>
      </c>
    </row>
    <row r="83" spans="1:12">
      <c r="A83" s="106">
        <v>0</v>
      </c>
      <c r="B83" s="227" t="s">
        <v>84</v>
      </c>
      <c r="D83" s="173">
        <v>0</v>
      </c>
      <c r="E83" s="211">
        <f t="shared" si="19"/>
        <v>0</v>
      </c>
      <c r="F83" s="211">
        <f t="shared" si="20"/>
        <v>0</v>
      </c>
      <c r="G83" s="172"/>
      <c r="H83" s="249">
        <v>0</v>
      </c>
      <c r="I83" s="302">
        <f t="shared" ref="I83" si="23">F83-H83</f>
        <v>0</v>
      </c>
    </row>
    <row r="84" spans="1:12">
      <c r="B84" s="89"/>
      <c r="D84" s="164"/>
      <c r="E84" s="164"/>
      <c r="F84" s="164"/>
      <c r="G84" s="172"/>
    </row>
    <row r="85" spans="1:12">
      <c r="B85" s="97" t="str">
        <f>B71</f>
        <v>Furniture</v>
      </c>
      <c r="C85" s="80"/>
      <c r="D85" s="212">
        <f>SUM(D72:D84)</f>
        <v>0</v>
      </c>
      <c r="E85" s="212">
        <f>SUM(E72:E84)</f>
        <v>0</v>
      </c>
      <c r="F85" s="179">
        <f>SUM(F72:F84)</f>
        <v>0</v>
      </c>
      <c r="G85" s="174"/>
      <c r="H85" s="315">
        <f>SUM(H72:H84)</f>
        <v>0</v>
      </c>
      <c r="I85" s="230">
        <f>F85-H85</f>
        <v>0</v>
      </c>
    </row>
    <row r="86" spans="1:12">
      <c r="B86" s="175" t="s">
        <v>11</v>
      </c>
      <c r="C86" s="80"/>
      <c r="D86" s="172"/>
      <c r="E86" s="172"/>
      <c r="F86" s="172"/>
      <c r="G86" s="172"/>
      <c r="J86" s="178" t="s">
        <v>11</v>
      </c>
      <c r="K86" s="176" t="s">
        <v>11</v>
      </c>
    </row>
    <row r="87" spans="1:12">
      <c r="B87" s="175"/>
      <c r="C87" s="80"/>
      <c r="D87" s="172"/>
      <c r="E87" s="172"/>
      <c r="F87" s="172"/>
      <c r="G87" s="172"/>
      <c r="J87" s="178"/>
      <c r="K87" s="176"/>
    </row>
    <row r="88" spans="1:12">
      <c r="B88" s="73" t="s">
        <v>90</v>
      </c>
      <c r="C88" s="80"/>
      <c r="D88" s="172"/>
      <c r="E88" s="172"/>
      <c r="F88" s="335"/>
      <c r="G88" s="172"/>
      <c r="H88" s="293" t="s">
        <v>83</v>
      </c>
      <c r="I88" s="293" t="s">
        <v>77</v>
      </c>
    </row>
    <row r="89" spans="1:12" s="107" customFormat="1">
      <c r="A89" s="158">
        <v>0</v>
      </c>
      <c r="B89" s="270" t="s">
        <v>84</v>
      </c>
      <c r="D89" s="108">
        <v>0</v>
      </c>
      <c r="E89" s="214">
        <f>F89-D89</f>
        <v>0</v>
      </c>
      <c r="F89" s="211">
        <f t="shared" ref="F89:F92" si="24">ROUNDUP((D89*fee/5),0)*5</f>
        <v>0</v>
      </c>
      <c r="G89" s="172"/>
      <c r="H89" s="294">
        <v>0</v>
      </c>
      <c r="I89" s="301">
        <f>F89-H89</f>
        <v>0</v>
      </c>
      <c r="L89" s="146"/>
    </row>
    <row r="90" spans="1:12" s="107" customFormat="1">
      <c r="A90" s="106">
        <v>0</v>
      </c>
      <c r="B90" s="271" t="s">
        <v>84</v>
      </c>
      <c r="D90" s="173">
        <v>0</v>
      </c>
      <c r="E90" s="215">
        <f>F90-D90</f>
        <v>0</v>
      </c>
      <c r="F90" s="211">
        <f t="shared" si="24"/>
        <v>0</v>
      </c>
      <c r="G90" s="172"/>
      <c r="H90" s="249">
        <v>0</v>
      </c>
      <c r="I90" s="302">
        <f>F90-H90</f>
        <v>0</v>
      </c>
      <c r="L90" s="146"/>
    </row>
    <row r="91" spans="1:12" s="107" customFormat="1">
      <c r="A91" s="106">
        <v>0</v>
      </c>
      <c r="B91" s="271" t="s">
        <v>84</v>
      </c>
      <c r="D91" s="173">
        <v>0</v>
      </c>
      <c r="E91" s="215">
        <f>F91-D91</f>
        <v>0</v>
      </c>
      <c r="F91" s="211">
        <f t="shared" si="24"/>
        <v>0</v>
      </c>
      <c r="G91" s="172"/>
      <c r="H91" s="249">
        <v>0</v>
      </c>
      <c r="I91" s="302">
        <f t="shared" ref="I91:I92" si="25">F91-H91</f>
        <v>0</v>
      </c>
      <c r="L91" s="146"/>
    </row>
    <row r="92" spans="1:12" s="107" customFormat="1">
      <c r="A92" s="106">
        <v>0</v>
      </c>
      <c r="B92" s="74" t="s">
        <v>84</v>
      </c>
      <c r="D92" s="173">
        <v>0</v>
      </c>
      <c r="E92" s="215">
        <f>F92-D92</f>
        <v>0</v>
      </c>
      <c r="F92" s="211">
        <f t="shared" si="24"/>
        <v>0</v>
      </c>
      <c r="G92" s="172"/>
      <c r="H92" s="249">
        <v>0</v>
      </c>
      <c r="I92" s="302">
        <f t="shared" si="25"/>
        <v>0</v>
      </c>
      <c r="L92" s="146"/>
    </row>
    <row r="93" spans="1:12" s="107" customFormat="1">
      <c r="A93" s="106" t="s">
        <v>11</v>
      </c>
      <c r="B93" s="74"/>
      <c r="D93" s="164"/>
      <c r="E93" s="231"/>
      <c r="F93" s="164"/>
      <c r="G93" s="172"/>
      <c r="L93" s="146"/>
    </row>
    <row r="94" spans="1:12" s="107" customFormat="1">
      <c r="A94" s="106"/>
      <c r="B94" s="97" t="str">
        <f>B88</f>
        <v>AV</v>
      </c>
      <c r="C94" s="80"/>
      <c r="D94" s="213">
        <f>SUM(D89:D93)</f>
        <v>0</v>
      </c>
      <c r="E94" s="212">
        <f>SUM(E89:E93)</f>
        <v>0</v>
      </c>
      <c r="F94" s="179">
        <f>SUM(F89:F93)</f>
        <v>0</v>
      </c>
      <c r="G94" s="174"/>
      <c r="H94" s="315">
        <f>SUM(H89:H93)</f>
        <v>0</v>
      </c>
      <c r="I94" s="230">
        <f>F94-H94</f>
        <v>0</v>
      </c>
      <c r="L94" s="146"/>
    </row>
    <row r="95" spans="1:12" s="107" customFormat="1">
      <c r="A95" s="106"/>
      <c r="B95" s="175"/>
      <c r="C95" s="80"/>
      <c r="D95" s="172"/>
      <c r="E95" s="172"/>
      <c r="F95" s="172"/>
      <c r="G95" s="172"/>
      <c r="L95" s="146"/>
    </row>
    <row r="96" spans="1:12" s="107" customFormat="1">
      <c r="A96" s="106"/>
      <c r="B96" s="175"/>
      <c r="C96" s="80"/>
      <c r="D96" s="172"/>
      <c r="E96" s="172"/>
      <c r="F96" s="172"/>
      <c r="G96" s="172"/>
      <c r="L96" s="146"/>
    </row>
    <row r="97" spans="1:12" s="107" customFormat="1">
      <c r="A97" s="106"/>
      <c r="B97" s="73" t="s">
        <v>91</v>
      </c>
      <c r="C97" s="80"/>
      <c r="D97" s="172"/>
      <c r="E97" s="172"/>
      <c r="F97" s="335"/>
      <c r="G97" s="172"/>
      <c r="H97" s="293" t="s">
        <v>83</v>
      </c>
      <c r="I97" s="293" t="s">
        <v>77</v>
      </c>
      <c r="L97" s="146"/>
    </row>
    <row r="98" spans="1:12" s="107" customFormat="1">
      <c r="A98" s="153">
        <v>0</v>
      </c>
      <c r="B98" s="225" t="s">
        <v>84</v>
      </c>
      <c r="C98" s="80"/>
      <c r="D98" s="170">
        <v>0</v>
      </c>
      <c r="E98" s="210">
        <f>F98-D98</f>
        <v>0</v>
      </c>
      <c r="F98" s="211">
        <f t="shared" ref="F98:F104" si="26">ROUNDUP((D98*fee/5),0)*5</f>
        <v>0</v>
      </c>
      <c r="G98" s="172"/>
      <c r="H98" s="294">
        <v>0</v>
      </c>
      <c r="I98" s="301">
        <f>F98-H98</f>
        <v>0</v>
      </c>
      <c r="L98" s="146"/>
    </row>
    <row r="99" spans="1:12" s="107" customFormat="1">
      <c r="A99" s="153">
        <v>0</v>
      </c>
      <c r="B99" s="227" t="s">
        <v>84</v>
      </c>
      <c r="C99" s="80"/>
      <c r="D99" s="173">
        <v>0</v>
      </c>
      <c r="E99" s="211">
        <f t="shared" ref="E99:E104" si="27">F99-D99</f>
        <v>0</v>
      </c>
      <c r="F99" s="211">
        <f t="shared" si="26"/>
        <v>0</v>
      </c>
      <c r="G99" s="172"/>
      <c r="H99" s="249">
        <v>0</v>
      </c>
      <c r="I99" s="302">
        <f>F99-H99</f>
        <v>0</v>
      </c>
      <c r="L99" s="146"/>
    </row>
    <row r="100" spans="1:12" s="107" customFormat="1">
      <c r="A100" s="153">
        <v>0</v>
      </c>
      <c r="B100" s="227" t="s">
        <v>84</v>
      </c>
      <c r="C100" s="80"/>
      <c r="D100" s="173">
        <v>0</v>
      </c>
      <c r="E100" s="211">
        <f t="shared" ref="E100:E103" si="28">F100-D100</f>
        <v>0</v>
      </c>
      <c r="F100" s="211">
        <f t="shared" si="26"/>
        <v>0</v>
      </c>
      <c r="G100" s="172"/>
      <c r="H100" s="249">
        <v>0</v>
      </c>
      <c r="I100" s="302">
        <f t="shared" ref="I100:I101" si="29">F100-H100</f>
        <v>0</v>
      </c>
      <c r="L100" s="146"/>
    </row>
    <row r="101" spans="1:12" s="107" customFormat="1">
      <c r="A101" s="153">
        <v>0</v>
      </c>
      <c r="B101" s="227" t="s">
        <v>84</v>
      </c>
      <c r="C101" s="80"/>
      <c r="D101" s="173">
        <v>0</v>
      </c>
      <c r="E101" s="211">
        <f t="shared" si="28"/>
        <v>0</v>
      </c>
      <c r="F101" s="211">
        <f t="shared" si="26"/>
        <v>0</v>
      </c>
      <c r="G101" s="172"/>
      <c r="H101" s="195">
        <v>0</v>
      </c>
      <c r="I101" s="304">
        <f t="shared" si="29"/>
        <v>0</v>
      </c>
      <c r="L101" s="146"/>
    </row>
    <row r="102" spans="1:12" s="107" customFormat="1">
      <c r="A102" s="153">
        <v>0</v>
      </c>
      <c r="B102" s="227" t="s">
        <v>84</v>
      </c>
      <c r="C102" s="80"/>
      <c r="D102" s="173">
        <v>0</v>
      </c>
      <c r="E102" s="211">
        <f t="shared" si="28"/>
        <v>0</v>
      </c>
      <c r="F102" s="211">
        <f t="shared" si="26"/>
        <v>0</v>
      </c>
      <c r="G102" s="172"/>
      <c r="H102" s="249">
        <v>0</v>
      </c>
      <c r="I102" s="302">
        <f>F102-H102</f>
        <v>0</v>
      </c>
      <c r="L102" s="146"/>
    </row>
    <row r="103" spans="1:12" s="107" customFormat="1">
      <c r="A103" s="153">
        <v>0</v>
      </c>
      <c r="B103" s="227" t="s">
        <v>84</v>
      </c>
      <c r="C103" s="80"/>
      <c r="D103" s="173">
        <v>0</v>
      </c>
      <c r="E103" s="211">
        <f t="shared" si="28"/>
        <v>0</v>
      </c>
      <c r="F103" s="211">
        <f t="shared" si="26"/>
        <v>0</v>
      </c>
      <c r="G103" s="172"/>
      <c r="H103" s="249">
        <v>0</v>
      </c>
      <c r="I103" s="302">
        <f>F103-H103</f>
        <v>0</v>
      </c>
      <c r="L103" s="146"/>
    </row>
    <row r="104" spans="1:12" s="107" customFormat="1">
      <c r="A104" s="106">
        <v>0</v>
      </c>
      <c r="B104" s="74" t="s">
        <v>84</v>
      </c>
      <c r="C104" s="80"/>
      <c r="D104" s="173">
        <v>0</v>
      </c>
      <c r="E104" s="211">
        <f t="shared" si="27"/>
        <v>0</v>
      </c>
      <c r="F104" s="211">
        <f t="shared" si="26"/>
        <v>0</v>
      </c>
      <c r="G104" s="172"/>
      <c r="H104" s="249">
        <v>0</v>
      </c>
      <c r="I104" s="302">
        <f t="shared" ref="I104" si="30">F104-H104</f>
        <v>0</v>
      </c>
      <c r="L104" s="146"/>
    </row>
    <row r="105" spans="1:12" s="107" customFormat="1">
      <c r="A105" s="232"/>
      <c r="B105" s="233"/>
      <c r="C105" s="80"/>
      <c r="D105" s="164"/>
      <c r="E105" s="164"/>
      <c r="F105" s="164"/>
      <c r="G105" s="172"/>
      <c r="L105" s="146"/>
    </row>
    <row r="106" spans="1:12" s="107" customFormat="1">
      <c r="A106" s="106"/>
      <c r="B106" s="97" t="str">
        <f>B97</f>
        <v>Display</v>
      </c>
      <c r="C106" s="80"/>
      <c r="D106" s="212">
        <f>SUM(D98:D105)</f>
        <v>0</v>
      </c>
      <c r="E106" s="212">
        <f>SUM(E98:E105)</f>
        <v>0</v>
      </c>
      <c r="F106" s="179">
        <f>SUM(F98:F105)</f>
        <v>0</v>
      </c>
      <c r="G106" s="174"/>
      <c r="H106" s="315">
        <f>SUM(H98:H105)</f>
        <v>0</v>
      </c>
      <c r="I106" s="230">
        <f>F106-H106</f>
        <v>0</v>
      </c>
      <c r="L106" s="146"/>
    </row>
    <row r="107" spans="1:12" s="107" customFormat="1">
      <c r="A107" s="106"/>
      <c r="B107" s="175"/>
      <c r="C107" s="80"/>
      <c r="D107" s="172"/>
      <c r="E107" s="172"/>
      <c r="F107" s="172"/>
      <c r="G107" s="172"/>
      <c r="L107" s="146"/>
    </row>
    <row r="108" spans="1:12" s="107" customFormat="1">
      <c r="A108" s="106"/>
      <c r="B108" s="175"/>
      <c r="C108" s="80"/>
      <c r="D108" s="172"/>
      <c r="E108" s="172"/>
      <c r="F108" s="172"/>
      <c r="G108" s="172"/>
      <c r="L108" s="146"/>
    </row>
    <row r="109" spans="1:12">
      <c r="B109" s="73" t="s">
        <v>92</v>
      </c>
      <c r="C109" s="80"/>
      <c r="D109" s="172"/>
      <c r="E109" s="172"/>
      <c r="F109" s="335"/>
      <c r="G109" s="172"/>
      <c r="H109" s="293" t="s">
        <v>83</v>
      </c>
      <c r="I109" s="293" t="s">
        <v>77</v>
      </c>
      <c r="J109" s="153"/>
      <c r="K109" s="153"/>
      <c r="L109" s="153"/>
    </row>
    <row r="110" spans="1:12">
      <c r="A110" s="153">
        <v>0</v>
      </c>
      <c r="B110" s="87" t="s">
        <v>84</v>
      </c>
      <c r="D110" s="181">
        <v>0</v>
      </c>
      <c r="E110" s="210">
        <f>F110-D110</f>
        <v>0</v>
      </c>
      <c r="F110" s="211">
        <f t="shared" ref="F110:F119" si="31">ROUNDUP((D110*fee/5),0)*5</f>
        <v>0</v>
      </c>
      <c r="G110" s="172"/>
      <c r="H110" s="294">
        <v>0</v>
      </c>
      <c r="I110" s="301">
        <f>F110-H110</f>
        <v>0</v>
      </c>
      <c r="J110" s="153"/>
      <c r="K110" s="153"/>
      <c r="L110" s="153"/>
    </row>
    <row r="111" spans="1:12">
      <c r="A111" s="153">
        <v>0</v>
      </c>
      <c r="B111" s="74" t="s">
        <v>84</v>
      </c>
      <c r="D111" s="180">
        <v>0</v>
      </c>
      <c r="E111" s="211">
        <f>F111-D111</f>
        <v>0</v>
      </c>
      <c r="F111" s="211">
        <f t="shared" si="31"/>
        <v>0</v>
      </c>
      <c r="G111" s="172"/>
      <c r="H111" s="249">
        <v>0</v>
      </c>
      <c r="I111" s="302">
        <f>F111-H111</f>
        <v>0</v>
      </c>
      <c r="J111" s="153"/>
      <c r="K111" s="153"/>
      <c r="L111" s="153"/>
    </row>
    <row r="112" spans="1:12">
      <c r="A112" s="153">
        <v>0</v>
      </c>
      <c r="B112" s="74" t="s">
        <v>84</v>
      </c>
      <c r="D112" s="180">
        <v>0</v>
      </c>
      <c r="E112" s="211">
        <f t="shared" ref="E112:E119" si="32">F112-D112</f>
        <v>0</v>
      </c>
      <c r="F112" s="211">
        <f t="shared" si="31"/>
        <v>0</v>
      </c>
      <c r="G112" s="172"/>
      <c r="H112" s="249">
        <v>0</v>
      </c>
      <c r="I112" s="302">
        <f t="shared" ref="I112:I113" si="33">F112-H112</f>
        <v>0</v>
      </c>
      <c r="J112" s="153"/>
      <c r="K112" s="153"/>
      <c r="L112" s="153"/>
    </row>
    <row r="113" spans="1:12">
      <c r="A113" s="153">
        <v>0</v>
      </c>
      <c r="B113" s="74" t="s">
        <v>84</v>
      </c>
      <c r="D113" s="180">
        <v>0</v>
      </c>
      <c r="E113" s="211">
        <f t="shared" si="32"/>
        <v>0</v>
      </c>
      <c r="F113" s="211">
        <f t="shared" si="31"/>
        <v>0</v>
      </c>
      <c r="G113" s="172"/>
      <c r="H113" s="195">
        <v>0</v>
      </c>
      <c r="I113" s="304">
        <f t="shared" si="33"/>
        <v>0</v>
      </c>
      <c r="J113" s="153"/>
      <c r="K113" s="153"/>
      <c r="L113" s="153"/>
    </row>
    <row r="114" spans="1:12">
      <c r="A114" s="153">
        <v>0</v>
      </c>
      <c r="B114" s="74" t="s">
        <v>84</v>
      </c>
      <c r="D114" s="180">
        <v>0</v>
      </c>
      <c r="E114" s="211">
        <f t="shared" si="32"/>
        <v>0</v>
      </c>
      <c r="F114" s="211">
        <f t="shared" si="31"/>
        <v>0</v>
      </c>
      <c r="G114" s="172"/>
      <c r="H114" s="195">
        <v>0</v>
      </c>
      <c r="I114" s="304">
        <f>F114-H114</f>
        <v>0</v>
      </c>
      <c r="J114" s="153"/>
      <c r="K114" s="153"/>
      <c r="L114" s="153"/>
    </row>
    <row r="115" spans="1:12">
      <c r="A115" s="153">
        <v>0</v>
      </c>
      <c r="B115" s="74" t="s">
        <v>84</v>
      </c>
      <c r="D115" s="180">
        <v>0</v>
      </c>
      <c r="E115" s="211">
        <f t="shared" si="32"/>
        <v>0</v>
      </c>
      <c r="F115" s="211">
        <f t="shared" si="31"/>
        <v>0</v>
      </c>
      <c r="G115" s="172"/>
      <c r="H115" s="195">
        <v>0</v>
      </c>
      <c r="I115" s="304">
        <f>F115-H115</f>
        <v>0</v>
      </c>
      <c r="J115" s="153"/>
      <c r="K115" s="153"/>
      <c r="L115" s="153"/>
    </row>
    <row r="116" spans="1:12">
      <c r="A116" s="153">
        <v>0</v>
      </c>
      <c r="B116" s="74" t="s">
        <v>84</v>
      </c>
      <c r="D116" s="180">
        <v>0</v>
      </c>
      <c r="E116" s="211">
        <f t="shared" si="32"/>
        <v>0</v>
      </c>
      <c r="F116" s="211">
        <f t="shared" si="31"/>
        <v>0</v>
      </c>
      <c r="G116" s="172"/>
      <c r="H116" s="195">
        <v>0</v>
      </c>
      <c r="I116" s="304">
        <f t="shared" ref="I116" si="34">F116-H116</f>
        <v>0</v>
      </c>
      <c r="J116" s="153"/>
      <c r="K116" s="153"/>
      <c r="L116" s="153"/>
    </row>
    <row r="117" spans="1:12">
      <c r="A117" s="153">
        <v>0</v>
      </c>
      <c r="B117" s="74" t="s">
        <v>84</v>
      </c>
      <c r="D117" s="180">
        <v>0</v>
      </c>
      <c r="E117" s="211">
        <f t="shared" si="32"/>
        <v>0</v>
      </c>
      <c r="F117" s="211">
        <f t="shared" si="31"/>
        <v>0</v>
      </c>
      <c r="G117" s="172"/>
      <c r="H117" s="195">
        <v>0</v>
      </c>
      <c r="I117" s="304">
        <f>F117-H117</f>
        <v>0</v>
      </c>
      <c r="J117" s="153"/>
      <c r="K117" s="153"/>
      <c r="L117" s="153"/>
    </row>
    <row r="118" spans="1:12">
      <c r="A118" s="153">
        <v>0</v>
      </c>
      <c r="B118" s="74" t="s">
        <v>84</v>
      </c>
      <c r="D118" s="180">
        <v>0</v>
      </c>
      <c r="E118" s="211">
        <f t="shared" si="32"/>
        <v>0</v>
      </c>
      <c r="F118" s="211">
        <f t="shared" si="31"/>
        <v>0</v>
      </c>
      <c r="G118" s="172"/>
      <c r="H118" s="195">
        <v>0</v>
      </c>
      <c r="I118" s="300">
        <f>F118-H118</f>
        <v>0</v>
      </c>
      <c r="J118" s="153"/>
      <c r="K118" s="153"/>
      <c r="L118" s="153"/>
    </row>
    <row r="119" spans="1:12">
      <c r="A119" s="153">
        <v>0</v>
      </c>
      <c r="B119" s="74" t="s">
        <v>84</v>
      </c>
      <c r="D119" s="180">
        <v>0</v>
      </c>
      <c r="E119" s="211">
        <f t="shared" si="32"/>
        <v>0</v>
      </c>
      <c r="F119" s="211">
        <f t="shared" si="31"/>
        <v>0</v>
      </c>
      <c r="G119" s="172"/>
      <c r="H119" s="249">
        <v>0</v>
      </c>
      <c r="I119" s="302">
        <f t="shared" ref="I119:I121" si="35">F119-H119</f>
        <v>0</v>
      </c>
      <c r="J119" s="153"/>
      <c r="K119" s="153"/>
      <c r="L119" s="153"/>
    </row>
    <row r="120" spans="1:12">
      <c r="A120" s="106" t="s">
        <v>11</v>
      </c>
      <c r="B120" s="89" t="s">
        <v>11</v>
      </c>
      <c r="D120" s="234" t="s">
        <v>11</v>
      </c>
      <c r="E120" s="235" t="s">
        <v>11</v>
      </c>
      <c r="F120" s="235" t="s">
        <v>11</v>
      </c>
      <c r="G120" s="236"/>
    </row>
    <row r="121" spans="1:12">
      <c r="A121" s="106">
        <v>0</v>
      </c>
      <c r="B121" s="117" t="s">
        <v>85</v>
      </c>
      <c r="D121" s="228">
        <v>0</v>
      </c>
      <c r="E121" s="211">
        <f>F121-D121</f>
        <v>0</v>
      </c>
      <c r="F121" s="195">
        <v>0</v>
      </c>
      <c r="G121" s="172"/>
      <c r="H121" s="249">
        <v>0</v>
      </c>
      <c r="I121" s="302">
        <f t="shared" si="35"/>
        <v>0</v>
      </c>
      <c r="J121" s="153"/>
      <c r="K121" s="153"/>
      <c r="L121" s="153"/>
    </row>
    <row r="122" spans="1:12">
      <c r="A122" s="106" t="s">
        <v>11</v>
      </c>
      <c r="B122" s="89" t="s">
        <v>11</v>
      </c>
      <c r="D122" s="234" t="s">
        <v>11</v>
      </c>
      <c r="E122" s="235" t="s">
        <v>11</v>
      </c>
      <c r="F122" s="235" t="s">
        <v>11</v>
      </c>
      <c r="G122" s="236"/>
    </row>
    <row r="123" spans="1:12">
      <c r="B123" s="97" t="s">
        <v>92</v>
      </c>
      <c r="C123" s="80"/>
      <c r="D123" s="213">
        <f>SUM(D110:D122)</f>
        <v>0</v>
      </c>
      <c r="E123" s="213">
        <f>SUM(E110:E122)</f>
        <v>0</v>
      </c>
      <c r="F123" s="182">
        <f>SUM(F110:F122)</f>
        <v>0</v>
      </c>
      <c r="G123" s="174"/>
      <c r="H123" s="315">
        <f>SUM(H110:H122)</f>
        <v>0</v>
      </c>
      <c r="I123" s="230">
        <f>F123-H123</f>
        <v>0</v>
      </c>
    </row>
    <row r="124" spans="1:12">
      <c r="A124" s="153" t="s">
        <v>11</v>
      </c>
      <c r="B124" s="74" t="s">
        <v>11</v>
      </c>
      <c r="D124" s="183" t="s">
        <v>11</v>
      </c>
      <c r="E124" s="162" t="s">
        <v>11</v>
      </c>
      <c r="F124" s="162" t="s">
        <v>11</v>
      </c>
      <c r="G124" s="172" t="s">
        <v>11</v>
      </c>
      <c r="I124" s="153"/>
      <c r="J124" s="153"/>
      <c r="K124" s="153"/>
      <c r="L124" s="153"/>
    </row>
    <row r="125" spans="1:12">
      <c r="A125" s="153"/>
      <c r="B125" s="73" t="s">
        <v>93</v>
      </c>
      <c r="D125" s="183"/>
      <c r="E125" s="162"/>
      <c r="F125" s="162"/>
      <c r="G125" s="172"/>
      <c r="H125" s="293" t="s">
        <v>83</v>
      </c>
      <c r="I125" s="293" t="s">
        <v>77</v>
      </c>
      <c r="J125" s="153"/>
      <c r="K125" s="153"/>
      <c r="L125" s="153"/>
    </row>
    <row r="126" spans="1:12">
      <c r="A126" s="153">
        <v>1</v>
      </c>
      <c r="B126" s="74" t="s">
        <v>94</v>
      </c>
      <c r="D126" s="180">
        <v>0</v>
      </c>
      <c r="E126" s="211">
        <f t="shared" ref="E126:E128" si="36">F126-D126</f>
        <v>0</v>
      </c>
      <c r="F126" s="211">
        <f t="shared" ref="F126:F128" si="37">ROUNDUP((D126*fee/5),0)*5</f>
        <v>0</v>
      </c>
      <c r="G126" s="172"/>
      <c r="H126" s="294">
        <v>0</v>
      </c>
      <c r="I126" s="301">
        <f>F126-H126</f>
        <v>0</v>
      </c>
      <c r="J126" s="153"/>
      <c r="K126" s="153"/>
      <c r="L126" s="153"/>
    </row>
    <row r="127" spans="1:12">
      <c r="A127" s="153">
        <v>1</v>
      </c>
      <c r="B127" s="74" t="s">
        <v>95</v>
      </c>
      <c r="D127" s="180">
        <v>0</v>
      </c>
      <c r="E127" s="211">
        <f t="shared" si="36"/>
        <v>0</v>
      </c>
      <c r="F127" s="211">
        <f t="shared" si="37"/>
        <v>0</v>
      </c>
      <c r="G127" s="172"/>
      <c r="H127" s="249">
        <v>0</v>
      </c>
      <c r="I127" s="302">
        <f>F127-H127</f>
        <v>0</v>
      </c>
      <c r="J127" s="153"/>
      <c r="K127" s="153"/>
      <c r="L127" s="153"/>
    </row>
    <row r="128" spans="1:12">
      <c r="A128" s="153">
        <v>0</v>
      </c>
      <c r="B128" s="74" t="s">
        <v>84</v>
      </c>
      <c r="D128" s="180">
        <v>0</v>
      </c>
      <c r="E128" s="211">
        <f t="shared" si="36"/>
        <v>0</v>
      </c>
      <c r="F128" s="211">
        <f t="shared" si="37"/>
        <v>0</v>
      </c>
      <c r="G128" s="172"/>
      <c r="H128" s="249">
        <v>0</v>
      </c>
      <c r="I128" s="302">
        <f t="shared" ref="I128" si="38">F128-H128</f>
        <v>0</v>
      </c>
      <c r="J128" s="153"/>
      <c r="K128" s="153"/>
      <c r="L128" s="153"/>
    </row>
    <row r="129" spans="1:12">
      <c r="A129" s="153"/>
      <c r="B129" s="74"/>
      <c r="D129" s="183"/>
      <c r="E129" s="162"/>
      <c r="F129" s="162"/>
      <c r="G129" s="172"/>
      <c r="I129" s="153"/>
      <c r="J129" s="153"/>
      <c r="K129" s="153"/>
      <c r="L129" s="153"/>
    </row>
    <row r="130" spans="1:12">
      <c r="A130" s="106">
        <v>0</v>
      </c>
      <c r="B130" s="117" t="s">
        <v>85</v>
      </c>
      <c r="D130" s="228">
        <v>0</v>
      </c>
      <c r="E130" s="211">
        <f>F130-D130</f>
        <v>0</v>
      </c>
      <c r="F130" s="195">
        <v>0</v>
      </c>
      <c r="G130" s="172"/>
      <c r="H130" s="249">
        <v>0</v>
      </c>
      <c r="I130" s="302">
        <f t="shared" ref="I130" si="39">F130-H130</f>
        <v>0</v>
      </c>
      <c r="J130" s="153"/>
      <c r="K130" s="153"/>
      <c r="L130" s="153"/>
    </row>
    <row r="131" spans="1:12">
      <c r="A131" s="106" t="s">
        <v>11</v>
      </c>
      <c r="B131" s="89" t="s">
        <v>11</v>
      </c>
      <c r="D131" s="234" t="s">
        <v>11</v>
      </c>
      <c r="E131" s="235" t="s">
        <v>11</v>
      </c>
      <c r="F131" s="235" t="s">
        <v>11</v>
      </c>
      <c r="G131" s="236"/>
    </row>
    <row r="132" spans="1:12">
      <c r="B132" s="97" t="s">
        <v>93</v>
      </c>
      <c r="C132" s="80"/>
      <c r="D132" s="213">
        <f>SUM(D126:D131)</f>
        <v>0</v>
      </c>
      <c r="E132" s="213">
        <f>SUM(E126:E131)</f>
        <v>0</v>
      </c>
      <c r="F132" s="182">
        <f>SUM(F126:F131)</f>
        <v>0</v>
      </c>
      <c r="G132" s="174"/>
      <c r="H132" s="315">
        <f>SUM(H126:H131)</f>
        <v>0</v>
      </c>
      <c r="I132" s="230">
        <f>F132-H132</f>
        <v>0</v>
      </c>
    </row>
    <row r="133" spans="1:12">
      <c r="C133" s="80"/>
      <c r="D133" s="172"/>
      <c r="E133" s="172"/>
      <c r="F133" s="172"/>
      <c r="G133" s="172"/>
    </row>
    <row r="134" spans="1:12">
      <c r="C134" s="80"/>
      <c r="D134" s="172"/>
      <c r="E134" s="172"/>
      <c r="F134" s="172"/>
      <c r="G134" s="172"/>
    </row>
    <row r="135" spans="1:12">
      <c r="B135" s="73" t="s">
        <v>96</v>
      </c>
      <c r="C135" s="80"/>
      <c r="D135" s="172"/>
      <c r="E135" s="172"/>
      <c r="F135" s="335"/>
      <c r="G135" s="172"/>
      <c r="H135" s="293" t="s">
        <v>83</v>
      </c>
      <c r="I135" s="293" t="s">
        <v>77</v>
      </c>
      <c r="J135" s="153"/>
      <c r="K135" s="153"/>
      <c r="L135" s="153"/>
    </row>
    <row r="136" spans="1:12">
      <c r="A136" s="153">
        <v>0</v>
      </c>
      <c r="B136" s="87" t="s">
        <v>84</v>
      </c>
      <c r="D136" s="181">
        <v>0</v>
      </c>
      <c r="E136" s="210">
        <f>F136-D136</f>
        <v>0</v>
      </c>
      <c r="F136" s="211">
        <f t="shared" ref="F136:F145" si="40">ROUNDUP((D136*fee/5),0)*5</f>
        <v>0</v>
      </c>
      <c r="G136" s="172"/>
      <c r="H136" s="294">
        <v>0</v>
      </c>
      <c r="I136" s="301">
        <f>F136-H136</f>
        <v>0</v>
      </c>
      <c r="J136" s="153"/>
      <c r="K136" s="153"/>
      <c r="L136" s="153"/>
    </row>
    <row r="137" spans="1:12">
      <c r="A137" s="153">
        <v>0</v>
      </c>
      <c r="B137" s="74" t="s">
        <v>84</v>
      </c>
      <c r="D137" s="180">
        <v>0</v>
      </c>
      <c r="E137" s="211">
        <f>F137-D137</f>
        <v>0</v>
      </c>
      <c r="F137" s="211">
        <f t="shared" si="40"/>
        <v>0</v>
      </c>
      <c r="G137" s="172"/>
      <c r="H137" s="249">
        <v>0</v>
      </c>
      <c r="I137" s="302">
        <f>F137-H137</f>
        <v>0</v>
      </c>
      <c r="J137" s="153"/>
      <c r="K137" s="153"/>
      <c r="L137" s="153"/>
    </row>
    <row r="138" spans="1:12">
      <c r="A138" s="153">
        <v>0</v>
      </c>
      <c r="B138" s="74" t="s">
        <v>84</v>
      </c>
      <c r="D138" s="180">
        <v>0</v>
      </c>
      <c r="E138" s="211">
        <f t="shared" ref="E138:E144" si="41">F138-D138</f>
        <v>0</v>
      </c>
      <c r="F138" s="211">
        <f t="shared" si="40"/>
        <v>0</v>
      </c>
      <c r="G138" s="172"/>
      <c r="H138" s="249">
        <v>0</v>
      </c>
      <c r="I138" s="302">
        <f t="shared" ref="I138:I139" si="42">F138-H138</f>
        <v>0</v>
      </c>
      <c r="J138" s="153"/>
      <c r="K138" s="153"/>
      <c r="L138" s="153"/>
    </row>
    <row r="139" spans="1:12">
      <c r="A139" s="153">
        <v>0</v>
      </c>
      <c r="B139" s="74" t="s">
        <v>84</v>
      </c>
      <c r="D139" s="180">
        <v>0</v>
      </c>
      <c r="E139" s="211">
        <f t="shared" si="41"/>
        <v>0</v>
      </c>
      <c r="F139" s="211">
        <f t="shared" si="40"/>
        <v>0</v>
      </c>
      <c r="G139" s="172"/>
      <c r="H139" s="195">
        <v>0</v>
      </c>
      <c r="I139" s="304">
        <f t="shared" si="42"/>
        <v>0</v>
      </c>
      <c r="J139" s="153"/>
      <c r="K139" s="153"/>
      <c r="L139" s="153"/>
    </row>
    <row r="140" spans="1:12">
      <c r="A140" s="153">
        <v>0</v>
      </c>
      <c r="B140" s="74" t="s">
        <v>84</v>
      </c>
      <c r="D140" s="180">
        <v>0</v>
      </c>
      <c r="E140" s="211">
        <f t="shared" si="41"/>
        <v>0</v>
      </c>
      <c r="F140" s="211">
        <f t="shared" si="40"/>
        <v>0</v>
      </c>
      <c r="G140" s="172"/>
      <c r="H140" s="195">
        <v>0</v>
      </c>
      <c r="I140" s="304">
        <f>F140-H140</f>
        <v>0</v>
      </c>
      <c r="J140" s="153"/>
      <c r="K140" s="153"/>
      <c r="L140" s="153"/>
    </row>
    <row r="141" spans="1:12">
      <c r="A141" s="153">
        <v>0</v>
      </c>
      <c r="B141" s="74" t="s">
        <v>84</v>
      </c>
      <c r="D141" s="180">
        <v>0</v>
      </c>
      <c r="E141" s="211">
        <f t="shared" si="41"/>
        <v>0</v>
      </c>
      <c r="F141" s="211">
        <f t="shared" si="40"/>
        <v>0</v>
      </c>
      <c r="G141" s="172"/>
      <c r="H141" s="249">
        <v>0</v>
      </c>
      <c r="I141" s="302">
        <f t="shared" ref="I141:I142" si="43">F141-H141</f>
        <v>0</v>
      </c>
      <c r="J141" s="153"/>
      <c r="K141" s="153"/>
      <c r="L141" s="153"/>
    </row>
    <row r="142" spans="1:12">
      <c r="A142" s="153">
        <v>0</v>
      </c>
      <c r="B142" s="74" t="s">
        <v>84</v>
      </c>
      <c r="D142" s="180">
        <v>0</v>
      </c>
      <c r="E142" s="211">
        <f t="shared" si="41"/>
        <v>0</v>
      </c>
      <c r="F142" s="211">
        <f t="shared" si="40"/>
        <v>0</v>
      </c>
      <c r="G142" s="172"/>
      <c r="H142" s="195">
        <v>0</v>
      </c>
      <c r="I142" s="304">
        <f t="shared" si="43"/>
        <v>0</v>
      </c>
      <c r="J142" s="153"/>
      <c r="K142" s="153"/>
      <c r="L142" s="153"/>
    </row>
    <row r="143" spans="1:12">
      <c r="A143" s="153">
        <v>0</v>
      </c>
      <c r="B143" s="74" t="s">
        <v>84</v>
      </c>
      <c r="D143" s="180">
        <v>0</v>
      </c>
      <c r="E143" s="211">
        <f t="shared" si="41"/>
        <v>0</v>
      </c>
      <c r="F143" s="211">
        <f t="shared" si="40"/>
        <v>0</v>
      </c>
      <c r="G143" s="172"/>
      <c r="H143" s="195">
        <v>0</v>
      </c>
      <c r="I143" s="304">
        <f>F143-H143</f>
        <v>0</v>
      </c>
      <c r="J143" s="153"/>
      <c r="K143" s="153"/>
      <c r="L143" s="153"/>
    </row>
    <row r="144" spans="1:12">
      <c r="A144" s="153">
        <v>0</v>
      </c>
      <c r="B144" s="74" t="s">
        <v>84</v>
      </c>
      <c r="D144" s="180">
        <v>0</v>
      </c>
      <c r="E144" s="211">
        <f t="shared" si="41"/>
        <v>0</v>
      </c>
      <c r="F144" s="211">
        <f t="shared" si="40"/>
        <v>0</v>
      </c>
      <c r="G144" s="172"/>
      <c r="H144" s="195">
        <v>0</v>
      </c>
      <c r="I144" s="304">
        <f>F144-H144</f>
        <v>0</v>
      </c>
      <c r="J144" s="153"/>
      <c r="K144" s="153"/>
      <c r="L144" s="153"/>
    </row>
    <row r="145" spans="1:12">
      <c r="A145" s="106">
        <v>0</v>
      </c>
      <c r="B145" s="74" t="s">
        <v>84</v>
      </c>
      <c r="D145" s="180">
        <v>0</v>
      </c>
      <c r="E145" s="211">
        <f>F145-D145</f>
        <v>0</v>
      </c>
      <c r="F145" s="211">
        <f t="shared" si="40"/>
        <v>0</v>
      </c>
      <c r="G145" s="172"/>
      <c r="H145" s="249">
        <v>0</v>
      </c>
      <c r="I145" s="302">
        <f t="shared" ref="I145" si="44">F145-H145</f>
        <v>0</v>
      </c>
      <c r="J145" s="153"/>
      <c r="K145" s="153"/>
      <c r="L145" s="153"/>
    </row>
    <row r="146" spans="1:12">
      <c r="A146" s="106" t="s">
        <v>11</v>
      </c>
      <c r="B146" s="89" t="s">
        <v>11</v>
      </c>
      <c r="D146" s="234" t="s">
        <v>11</v>
      </c>
      <c r="E146" s="235" t="s">
        <v>11</v>
      </c>
      <c r="F146" s="235" t="s">
        <v>11</v>
      </c>
      <c r="G146" s="236"/>
    </row>
    <row r="147" spans="1:12" s="107" customFormat="1">
      <c r="A147" s="106"/>
      <c r="B147" s="97" t="str">
        <f>B135</f>
        <v>Electrical</v>
      </c>
      <c r="C147" s="80"/>
      <c r="D147" s="213">
        <f>SUM(D136:D146)</f>
        <v>0</v>
      </c>
      <c r="E147" s="213">
        <f>SUM(E136:E146)</f>
        <v>0</v>
      </c>
      <c r="F147" s="182">
        <f>SUM(F136:F146)</f>
        <v>0</v>
      </c>
      <c r="G147" s="174"/>
      <c r="H147" s="315">
        <f>SUM(H136:H146)</f>
        <v>0</v>
      </c>
      <c r="I147" s="230">
        <f>F147-H147</f>
        <v>0</v>
      </c>
      <c r="L147" s="146"/>
    </row>
    <row r="148" spans="1:12">
      <c r="C148" s="80"/>
      <c r="D148" s="172"/>
      <c r="E148" s="172"/>
      <c r="F148" s="172"/>
      <c r="G148" s="172"/>
    </row>
    <row r="149" spans="1:12">
      <c r="C149" s="80"/>
      <c r="D149" s="172"/>
      <c r="E149" s="172"/>
      <c r="F149" s="172"/>
      <c r="G149" s="172"/>
    </row>
    <row r="150" spans="1:12">
      <c r="A150" s="153"/>
      <c r="B150" s="73" t="s">
        <v>17</v>
      </c>
      <c r="D150" s="172"/>
      <c r="E150" s="172"/>
      <c r="F150" s="335"/>
      <c r="G150" s="172"/>
      <c r="H150" s="293" t="s">
        <v>83</v>
      </c>
      <c r="I150" s="293" t="s">
        <v>77</v>
      </c>
      <c r="J150" s="153"/>
      <c r="K150" s="153"/>
      <c r="L150" s="153"/>
    </row>
    <row r="151" spans="1:12">
      <c r="A151" s="153">
        <v>0</v>
      </c>
      <c r="B151" s="74" t="s">
        <v>84</v>
      </c>
      <c r="D151" s="181">
        <v>0</v>
      </c>
      <c r="E151" s="210">
        <f t="shared" ref="E151:E153" si="45">F151-D151</f>
        <v>0</v>
      </c>
      <c r="F151" s="211">
        <f t="shared" ref="F151:F153" si="46">ROUNDUP((D151*fee/5),0)*5</f>
        <v>0</v>
      </c>
      <c r="G151" s="172"/>
      <c r="H151" s="294">
        <v>0</v>
      </c>
      <c r="I151" s="301">
        <f>F151-H151</f>
        <v>0</v>
      </c>
      <c r="J151" s="153"/>
      <c r="K151" s="153"/>
      <c r="L151" s="153"/>
    </row>
    <row r="152" spans="1:12">
      <c r="A152" s="153">
        <v>0</v>
      </c>
      <c r="B152" s="74" t="s">
        <v>84</v>
      </c>
      <c r="D152" s="180">
        <v>0</v>
      </c>
      <c r="E152" s="211">
        <f t="shared" si="45"/>
        <v>0</v>
      </c>
      <c r="F152" s="211">
        <f t="shared" si="46"/>
        <v>0</v>
      </c>
      <c r="G152" s="172"/>
      <c r="H152" s="249">
        <v>0</v>
      </c>
      <c r="I152" s="302">
        <f>F152-H152</f>
        <v>0</v>
      </c>
      <c r="J152" s="153"/>
      <c r="K152" s="153"/>
      <c r="L152" s="153"/>
    </row>
    <row r="153" spans="1:12">
      <c r="A153" s="153">
        <v>0</v>
      </c>
      <c r="B153" s="74" t="s">
        <v>84</v>
      </c>
      <c r="D153" s="180">
        <v>0</v>
      </c>
      <c r="E153" s="211">
        <f t="shared" si="45"/>
        <v>0</v>
      </c>
      <c r="F153" s="211">
        <f t="shared" si="46"/>
        <v>0</v>
      </c>
      <c r="G153" s="172"/>
      <c r="H153" s="249">
        <v>0</v>
      </c>
      <c r="I153" s="302">
        <f t="shared" ref="I153" si="47">F153-H153</f>
        <v>0</v>
      </c>
      <c r="J153" s="153"/>
      <c r="K153" s="153"/>
      <c r="L153" s="153"/>
    </row>
    <row r="154" spans="1:12">
      <c r="A154" s="153"/>
      <c r="B154" s="74"/>
      <c r="D154" s="183"/>
      <c r="E154" s="162"/>
      <c r="F154" s="162"/>
      <c r="G154" s="172"/>
      <c r="I154" s="153"/>
      <c r="J154" s="153"/>
      <c r="K154" s="153"/>
      <c r="L154" s="153"/>
    </row>
    <row r="155" spans="1:12">
      <c r="A155" s="106">
        <v>0</v>
      </c>
      <c r="B155" s="117" t="s">
        <v>85</v>
      </c>
      <c r="D155" s="228">
        <v>0</v>
      </c>
      <c r="E155" s="211">
        <f>F155-D155</f>
        <v>0</v>
      </c>
      <c r="F155" s="195">
        <v>0</v>
      </c>
      <c r="G155" s="172"/>
      <c r="H155" s="249">
        <v>0</v>
      </c>
      <c r="I155" s="302">
        <f t="shared" ref="I155" si="48">F155-H155</f>
        <v>0</v>
      </c>
      <c r="J155" s="153"/>
      <c r="K155" s="153"/>
      <c r="L155" s="153"/>
    </row>
    <row r="156" spans="1:12">
      <c r="A156" s="106" t="s">
        <v>11</v>
      </c>
      <c r="B156" s="89" t="s">
        <v>11</v>
      </c>
      <c r="D156" s="234" t="s">
        <v>11</v>
      </c>
      <c r="E156" s="235" t="s">
        <v>11</v>
      </c>
      <c r="F156" s="235" t="s">
        <v>11</v>
      </c>
      <c r="G156" s="236"/>
    </row>
    <row r="157" spans="1:12">
      <c r="B157" s="97" t="s">
        <v>93</v>
      </c>
      <c r="C157" s="80"/>
      <c r="D157" s="213">
        <f>SUM(D151:D156)</f>
        <v>0</v>
      </c>
      <c r="E157" s="213">
        <f>SUM(E151:E156)</f>
        <v>0</v>
      </c>
      <c r="F157" s="182">
        <f>SUM(F151:F156)</f>
        <v>0</v>
      </c>
      <c r="G157" s="174"/>
      <c r="H157" s="315">
        <f>SUM(H151:H156)</f>
        <v>0</v>
      </c>
      <c r="I157" s="230">
        <f>F157-H157</f>
        <v>0</v>
      </c>
    </row>
    <row r="158" spans="1:12" s="107" customFormat="1">
      <c r="A158" s="106"/>
      <c r="B158" s="146"/>
      <c r="C158" s="80"/>
      <c r="D158" s="172"/>
      <c r="E158" s="172"/>
      <c r="F158" s="172"/>
      <c r="G158" s="172"/>
      <c r="L158" s="146"/>
    </row>
    <row r="159" spans="1:12" s="107" customFormat="1">
      <c r="A159" s="106"/>
      <c r="B159" s="146"/>
      <c r="C159" s="80"/>
      <c r="D159" s="172"/>
      <c r="E159" s="172"/>
      <c r="F159" s="172"/>
      <c r="G159" s="172"/>
      <c r="H159" s="73" t="s">
        <v>83</v>
      </c>
      <c r="I159" s="73" t="s">
        <v>77</v>
      </c>
      <c r="J159" s="237" t="s">
        <v>57</v>
      </c>
      <c r="L159" s="146"/>
    </row>
    <row r="160" spans="1:12" s="107" customFormat="1" ht="14.1" thickBot="1">
      <c r="A160" s="106"/>
      <c r="B160" s="78" t="s">
        <v>97</v>
      </c>
      <c r="C160" s="80"/>
      <c r="D160" s="79">
        <f>D25+D41+D49+D68+D85+D94+D106+D132+D147+D123+D157</f>
        <v>0</v>
      </c>
      <c r="E160" s="79">
        <f>E25+E41+E49+E68+E85+E94+E106+E132+E147+E123+E157</f>
        <v>0</v>
      </c>
      <c r="F160" s="193">
        <f>F25+F41+F49+F68+F85+F94+F106+F132+F147+F123+F157</f>
        <v>0</v>
      </c>
      <c r="G160" s="172"/>
      <c r="H160" s="269">
        <f>H25+H41+H49+H68+H85+H94+H106+H132+H147+H157+H123</f>
        <v>0</v>
      </c>
      <c r="I160" s="239">
        <f>F160-H160</f>
        <v>0</v>
      </c>
      <c r="J160" s="240" t="e">
        <f ca="1">SOM(I14:I147)-I160</f>
        <v>#NAME?</v>
      </c>
      <c r="L160" s="146"/>
    </row>
    <row r="161" spans="1:12" s="107" customFormat="1" ht="14.1" thickTop="1">
      <c r="A161" s="106"/>
      <c r="B161" s="146"/>
      <c r="C161" s="80"/>
      <c r="D161" s="172"/>
      <c r="E161" s="172"/>
      <c r="F161" s="172"/>
      <c r="G161" s="172"/>
      <c r="L161" s="146"/>
    </row>
    <row r="162" spans="1:12" s="107" customFormat="1">
      <c r="A162" s="106"/>
      <c r="B162" s="146"/>
      <c r="C162" s="80"/>
      <c r="D162" s="172"/>
      <c r="E162" s="172"/>
      <c r="F162" s="172"/>
      <c r="G162" s="172"/>
      <c r="L162" s="146"/>
    </row>
    <row r="163" spans="1:12" s="107" customFormat="1">
      <c r="A163" s="106"/>
      <c r="B163" s="81" t="s">
        <v>98</v>
      </c>
      <c r="C163" s="80"/>
      <c r="D163" s="172"/>
      <c r="E163" s="172"/>
      <c r="F163" s="172"/>
      <c r="G163" s="172"/>
      <c r="L163" s="146"/>
    </row>
    <row r="164" spans="1:12" s="107" customFormat="1">
      <c r="A164" s="106" t="s">
        <v>11</v>
      </c>
      <c r="B164" s="87"/>
      <c r="D164" s="241" t="s">
        <v>11</v>
      </c>
      <c r="E164" s="160" t="s">
        <v>11</v>
      </c>
      <c r="F164" s="242" t="s">
        <v>11</v>
      </c>
      <c r="G164" s="172"/>
      <c r="L164" s="146"/>
    </row>
    <row r="165" spans="1:12" s="107" customFormat="1">
      <c r="A165" s="106" t="s">
        <v>11</v>
      </c>
      <c r="B165" s="88" t="s">
        <v>99</v>
      </c>
      <c r="D165" s="183" t="s">
        <v>11</v>
      </c>
      <c r="E165" s="162" t="s">
        <v>11</v>
      </c>
      <c r="F165" s="165" t="s">
        <v>11</v>
      </c>
      <c r="G165" s="172"/>
      <c r="H165" s="293" t="s">
        <v>83</v>
      </c>
      <c r="I165" s="293" t="s">
        <v>77</v>
      </c>
      <c r="L165" s="146"/>
    </row>
    <row r="166" spans="1:12" s="107" customFormat="1">
      <c r="A166" s="106">
        <v>0</v>
      </c>
      <c r="B166" s="74" t="s">
        <v>84</v>
      </c>
      <c r="D166" s="180">
        <v>0</v>
      </c>
      <c r="E166" s="211">
        <f>F166-D166</f>
        <v>0</v>
      </c>
      <c r="F166" s="211">
        <f t="shared" ref="F166:F170" si="49">ROUNDUP((D166*fee/5),0)*5</f>
        <v>0</v>
      </c>
      <c r="G166" s="172"/>
      <c r="H166" s="294">
        <v>0</v>
      </c>
      <c r="I166" s="301">
        <f>F166-H166</f>
        <v>0</v>
      </c>
      <c r="L166" s="146"/>
    </row>
    <row r="167" spans="1:12" s="107" customFormat="1">
      <c r="A167" s="106">
        <v>0</v>
      </c>
      <c r="B167" s="74" t="s">
        <v>84</v>
      </c>
      <c r="D167" s="180">
        <v>0</v>
      </c>
      <c r="E167" s="211">
        <f>F167-D167</f>
        <v>0</v>
      </c>
      <c r="F167" s="211">
        <f t="shared" si="49"/>
        <v>0</v>
      </c>
      <c r="G167" s="172"/>
      <c r="H167" s="249">
        <v>0</v>
      </c>
      <c r="I167" s="302">
        <f>F167-H167</f>
        <v>0</v>
      </c>
      <c r="L167" s="146"/>
    </row>
    <row r="168" spans="1:12" s="107" customFormat="1">
      <c r="A168" s="106">
        <v>0</v>
      </c>
      <c r="B168" s="74" t="s">
        <v>100</v>
      </c>
      <c r="D168" s="180">
        <v>0</v>
      </c>
      <c r="E168" s="211">
        <f>F168-D168</f>
        <v>0</v>
      </c>
      <c r="F168" s="211">
        <f t="shared" si="49"/>
        <v>0</v>
      </c>
      <c r="G168" s="172"/>
      <c r="H168" s="249">
        <v>0</v>
      </c>
      <c r="I168" s="302">
        <f t="shared" ref="I168" si="50">F168-H168</f>
        <v>0</v>
      </c>
      <c r="L168" s="146"/>
    </row>
    <row r="169" spans="1:12" s="107" customFormat="1">
      <c r="A169" s="106">
        <v>0</v>
      </c>
      <c r="B169" s="74" t="s">
        <v>84</v>
      </c>
      <c r="D169" s="180">
        <v>0</v>
      </c>
      <c r="E169" s="211">
        <f t="shared" ref="E169:E195" si="51">F169-D169</f>
        <v>0</v>
      </c>
      <c r="F169" s="211">
        <f t="shared" si="49"/>
        <v>0</v>
      </c>
      <c r="G169" s="172"/>
      <c r="H169" s="249">
        <v>0</v>
      </c>
      <c r="I169" s="302">
        <f>F169-H169</f>
        <v>0</v>
      </c>
      <c r="L169" s="146"/>
    </row>
    <row r="170" spans="1:12" s="107" customFormat="1">
      <c r="A170" s="106">
        <v>0</v>
      </c>
      <c r="B170" s="74" t="s">
        <v>84</v>
      </c>
      <c r="D170" s="180">
        <v>0</v>
      </c>
      <c r="E170" s="211">
        <f t="shared" ref="E170" si="52">F170-D170</f>
        <v>0</v>
      </c>
      <c r="F170" s="211">
        <f t="shared" si="49"/>
        <v>0</v>
      </c>
      <c r="G170" s="172"/>
      <c r="H170" s="249">
        <v>0</v>
      </c>
      <c r="I170" s="302">
        <f t="shared" ref="I170" si="53">F170-H170</f>
        <v>0</v>
      </c>
      <c r="L170" s="146"/>
    </row>
    <row r="171" spans="1:12" s="107" customFormat="1">
      <c r="A171" s="106" t="s">
        <v>11</v>
      </c>
      <c r="B171" s="74"/>
      <c r="D171" s="183" t="s">
        <v>11</v>
      </c>
      <c r="E171" s="162" t="s">
        <v>11</v>
      </c>
      <c r="F171" s="165" t="s">
        <v>11</v>
      </c>
      <c r="G171" s="172"/>
      <c r="L171" s="146"/>
    </row>
    <row r="172" spans="1:12" s="107" customFormat="1">
      <c r="A172" s="106" t="s">
        <v>11</v>
      </c>
      <c r="B172" s="88" t="s">
        <v>101</v>
      </c>
      <c r="D172" s="183" t="s">
        <v>11</v>
      </c>
      <c r="E172" s="162" t="s">
        <v>11</v>
      </c>
      <c r="F172" s="165" t="s">
        <v>11</v>
      </c>
      <c r="G172" s="172"/>
      <c r="L172" s="146"/>
    </row>
    <row r="173" spans="1:12" s="107" customFormat="1">
      <c r="A173" s="106">
        <v>0</v>
      </c>
      <c r="B173" s="74" t="s">
        <v>102</v>
      </c>
      <c r="D173" s="180">
        <v>0</v>
      </c>
      <c r="E173" s="211">
        <f t="shared" si="51"/>
        <v>0</v>
      </c>
      <c r="F173" s="211">
        <f t="shared" ref="F173:F177" si="54">ROUNDUP((D173*fee/5),0)*5</f>
        <v>0</v>
      </c>
      <c r="G173" s="172"/>
      <c r="H173" s="294">
        <v>0</v>
      </c>
      <c r="I173" s="301">
        <f>F173-H173</f>
        <v>0</v>
      </c>
      <c r="L173" s="146"/>
    </row>
    <row r="174" spans="1:12" s="107" customFormat="1">
      <c r="A174" s="106">
        <v>0</v>
      </c>
      <c r="B174" s="74" t="s">
        <v>102</v>
      </c>
      <c r="D174" s="180">
        <v>0</v>
      </c>
      <c r="E174" s="211">
        <f t="shared" si="51"/>
        <v>0</v>
      </c>
      <c r="F174" s="211">
        <f t="shared" si="54"/>
        <v>0</v>
      </c>
      <c r="G174" s="172"/>
      <c r="H174" s="249">
        <v>0</v>
      </c>
      <c r="I174" s="302">
        <f>F174-H174</f>
        <v>0</v>
      </c>
      <c r="L174" s="146"/>
    </row>
    <row r="175" spans="1:12" s="107" customFormat="1">
      <c r="A175" s="106">
        <v>0</v>
      </c>
      <c r="B175" s="74" t="s">
        <v>84</v>
      </c>
      <c r="D175" s="180">
        <v>0</v>
      </c>
      <c r="E175" s="211">
        <f t="shared" si="51"/>
        <v>0</v>
      </c>
      <c r="F175" s="211">
        <f t="shared" si="54"/>
        <v>0</v>
      </c>
      <c r="G175" s="172"/>
      <c r="H175" s="249">
        <v>0</v>
      </c>
      <c r="I175" s="302">
        <f t="shared" ref="I175" si="55">F175-H175</f>
        <v>0</v>
      </c>
      <c r="L175" s="146"/>
    </row>
    <row r="176" spans="1:12" s="107" customFormat="1">
      <c r="A176" s="106">
        <v>0</v>
      </c>
      <c r="B176" s="74" t="s">
        <v>84</v>
      </c>
      <c r="D176" s="180">
        <v>0</v>
      </c>
      <c r="E176" s="211">
        <f t="shared" si="51"/>
        <v>0</v>
      </c>
      <c r="F176" s="211">
        <f t="shared" si="54"/>
        <v>0</v>
      </c>
      <c r="G176" s="172"/>
      <c r="H176" s="249">
        <v>0</v>
      </c>
      <c r="I176" s="302">
        <f>F176-H176</f>
        <v>0</v>
      </c>
      <c r="L176" s="146"/>
    </row>
    <row r="177" spans="1:12" s="107" customFormat="1">
      <c r="A177" s="106">
        <v>0</v>
      </c>
      <c r="B177" s="74" t="s">
        <v>84</v>
      </c>
      <c r="D177" s="180">
        <v>0</v>
      </c>
      <c r="E177" s="211">
        <f t="shared" si="51"/>
        <v>0</v>
      </c>
      <c r="F177" s="211">
        <f t="shared" si="54"/>
        <v>0</v>
      </c>
      <c r="G177" s="172"/>
      <c r="H177" s="249">
        <v>0</v>
      </c>
      <c r="I177" s="302">
        <f t="shared" ref="I177" si="56">F177-H177</f>
        <v>0</v>
      </c>
      <c r="L177" s="146"/>
    </row>
    <row r="178" spans="1:12" s="107" customFormat="1">
      <c r="A178" s="106" t="s">
        <v>11</v>
      </c>
      <c r="B178" s="74"/>
      <c r="D178" s="183" t="s">
        <v>11</v>
      </c>
      <c r="E178" s="162" t="s">
        <v>11</v>
      </c>
      <c r="F178" s="165" t="s">
        <v>11</v>
      </c>
      <c r="G178" s="172"/>
      <c r="L178" s="146"/>
    </row>
    <row r="179" spans="1:12" s="107" customFormat="1">
      <c r="A179" s="106" t="s">
        <v>11</v>
      </c>
      <c r="B179" s="88" t="s">
        <v>103</v>
      </c>
      <c r="D179" s="183" t="s">
        <v>11</v>
      </c>
      <c r="E179" s="162" t="s">
        <v>11</v>
      </c>
      <c r="F179" s="165" t="s">
        <v>11</v>
      </c>
      <c r="G179" s="172"/>
      <c r="L179" s="146"/>
    </row>
    <row r="180" spans="1:12" s="107" customFormat="1">
      <c r="A180" s="106">
        <v>0</v>
      </c>
      <c r="B180" s="74" t="s">
        <v>84</v>
      </c>
      <c r="D180" s="180">
        <v>0</v>
      </c>
      <c r="E180" s="211">
        <f t="shared" si="51"/>
        <v>0</v>
      </c>
      <c r="F180" s="211">
        <f t="shared" ref="F180:F182" si="57">ROUNDUP((D180*fee/5),0)*5</f>
        <v>0</v>
      </c>
      <c r="G180" s="172"/>
      <c r="H180" s="294">
        <v>0</v>
      </c>
      <c r="I180" s="301">
        <f>F180-H180</f>
        <v>0</v>
      </c>
      <c r="L180" s="146"/>
    </row>
    <row r="181" spans="1:12" s="107" customFormat="1">
      <c r="A181" s="106">
        <v>0</v>
      </c>
      <c r="B181" s="74" t="s">
        <v>84</v>
      </c>
      <c r="D181" s="180">
        <v>0</v>
      </c>
      <c r="E181" s="211">
        <f t="shared" si="51"/>
        <v>0</v>
      </c>
      <c r="F181" s="211">
        <f t="shared" si="57"/>
        <v>0</v>
      </c>
      <c r="G181" s="172"/>
      <c r="H181" s="249">
        <v>0</v>
      </c>
      <c r="I181" s="302">
        <f>F181-H181</f>
        <v>0</v>
      </c>
      <c r="L181" s="146"/>
    </row>
    <row r="182" spans="1:12" s="107" customFormat="1">
      <c r="A182" s="106">
        <v>0</v>
      </c>
      <c r="B182" s="74" t="s">
        <v>102</v>
      </c>
      <c r="D182" s="180">
        <v>0</v>
      </c>
      <c r="E182" s="211">
        <f t="shared" ref="E182" si="58">F182-D182</f>
        <v>0</v>
      </c>
      <c r="F182" s="211">
        <f t="shared" si="57"/>
        <v>0</v>
      </c>
      <c r="G182" s="172"/>
      <c r="H182" s="249">
        <v>0</v>
      </c>
      <c r="I182" s="302">
        <f t="shared" ref="I182" si="59">F182-H182</f>
        <v>0</v>
      </c>
      <c r="L182" s="146"/>
    </row>
    <row r="183" spans="1:12" s="107" customFormat="1">
      <c r="A183" s="106"/>
      <c r="B183" s="74"/>
      <c r="D183" s="183"/>
      <c r="E183" s="162"/>
      <c r="F183" s="165"/>
      <c r="G183" s="172"/>
      <c r="L183" s="146"/>
    </row>
    <row r="184" spans="1:12" s="107" customFormat="1">
      <c r="A184" s="106"/>
      <c r="B184" s="88" t="s">
        <v>104</v>
      </c>
      <c r="D184" s="183" t="s">
        <v>11</v>
      </c>
      <c r="E184" s="162" t="s">
        <v>11</v>
      </c>
      <c r="F184" s="165" t="s">
        <v>11</v>
      </c>
      <c r="G184" s="172"/>
      <c r="L184" s="146"/>
    </row>
    <row r="185" spans="1:12" s="107" customFormat="1">
      <c r="A185" s="106">
        <v>0</v>
      </c>
      <c r="B185" s="74" t="s">
        <v>84</v>
      </c>
      <c r="D185" s="180">
        <v>0</v>
      </c>
      <c r="E185" s="211">
        <f t="shared" si="51"/>
        <v>0</v>
      </c>
      <c r="F185" s="211">
        <f t="shared" ref="F185:F188" si="60">ROUNDUP((D185*fee/5),0)*5</f>
        <v>0</v>
      </c>
      <c r="G185" s="172"/>
      <c r="H185" s="294">
        <v>0</v>
      </c>
      <c r="I185" s="301">
        <f>F185-H185</f>
        <v>0</v>
      </c>
      <c r="L185" s="146"/>
    </row>
    <row r="186" spans="1:12" s="107" customFormat="1">
      <c r="A186" s="106">
        <v>0</v>
      </c>
      <c r="B186" s="74" t="s">
        <v>102</v>
      </c>
      <c r="D186" s="180">
        <v>0</v>
      </c>
      <c r="E186" s="211">
        <f t="shared" si="51"/>
        <v>0</v>
      </c>
      <c r="F186" s="211">
        <f t="shared" si="60"/>
        <v>0</v>
      </c>
      <c r="G186" s="172"/>
      <c r="H186" s="249">
        <v>0</v>
      </c>
      <c r="I186" s="302">
        <f>F186-H186</f>
        <v>0</v>
      </c>
      <c r="L186" s="146"/>
    </row>
    <row r="187" spans="1:12" s="107" customFormat="1">
      <c r="A187" s="106">
        <v>0</v>
      </c>
      <c r="B187" s="74" t="s">
        <v>102</v>
      </c>
      <c r="D187" s="180">
        <v>0</v>
      </c>
      <c r="E187" s="211">
        <f t="shared" si="51"/>
        <v>0</v>
      </c>
      <c r="F187" s="211">
        <f t="shared" si="60"/>
        <v>0</v>
      </c>
      <c r="G187" s="172"/>
      <c r="H187" s="249">
        <v>0</v>
      </c>
      <c r="I187" s="302">
        <f t="shared" ref="I187" si="61">F187-H187</f>
        <v>0</v>
      </c>
      <c r="L187" s="146"/>
    </row>
    <row r="188" spans="1:12" s="107" customFormat="1">
      <c r="A188" s="106">
        <v>0</v>
      </c>
      <c r="B188" s="74" t="s">
        <v>84</v>
      </c>
      <c r="D188" s="180">
        <v>0</v>
      </c>
      <c r="E188" s="211">
        <f t="shared" ref="E188" si="62">F188-D188</f>
        <v>0</v>
      </c>
      <c r="F188" s="211">
        <f t="shared" si="60"/>
        <v>0</v>
      </c>
      <c r="G188" s="172"/>
      <c r="H188" s="249">
        <v>0</v>
      </c>
      <c r="I188" s="302">
        <f>F188-H188</f>
        <v>0</v>
      </c>
      <c r="L188" s="146"/>
    </row>
    <row r="189" spans="1:12" s="107" customFormat="1">
      <c r="A189" s="106"/>
      <c r="B189" s="74"/>
      <c r="D189" s="183" t="s">
        <v>11</v>
      </c>
      <c r="E189" s="162" t="s">
        <v>11</v>
      </c>
      <c r="F189" s="165" t="s">
        <v>11</v>
      </c>
      <c r="G189" s="172"/>
      <c r="L189" s="146"/>
    </row>
    <row r="190" spans="1:12" s="107" customFormat="1">
      <c r="A190" s="106"/>
      <c r="B190" s="88" t="s">
        <v>105</v>
      </c>
      <c r="D190" s="183" t="s">
        <v>11</v>
      </c>
      <c r="E190" s="162" t="s">
        <v>11</v>
      </c>
      <c r="F190" s="165" t="s">
        <v>11</v>
      </c>
      <c r="G190" s="172"/>
      <c r="L190" s="146"/>
    </row>
    <row r="191" spans="1:12" s="107" customFormat="1">
      <c r="A191" s="106">
        <v>0</v>
      </c>
      <c r="B191" s="74" t="s">
        <v>84</v>
      </c>
      <c r="D191" s="180">
        <v>0</v>
      </c>
      <c r="E191" s="211">
        <f t="shared" ref="E191:E194" si="63">F191-D191</f>
        <v>0</v>
      </c>
      <c r="F191" s="211">
        <f t="shared" ref="F191:F195" si="64">ROUNDUP((D191*fee/5),0)*5</f>
        <v>0</v>
      </c>
      <c r="G191" s="172"/>
      <c r="H191" s="294">
        <v>0</v>
      </c>
      <c r="I191" s="301">
        <f>F191-H191</f>
        <v>0</v>
      </c>
      <c r="L191" s="146"/>
    </row>
    <row r="192" spans="1:12">
      <c r="A192" s="106">
        <v>0</v>
      </c>
      <c r="B192" s="74" t="s">
        <v>84</v>
      </c>
      <c r="D192" s="180">
        <v>0</v>
      </c>
      <c r="E192" s="211">
        <f t="shared" si="63"/>
        <v>0</v>
      </c>
      <c r="F192" s="211">
        <f t="shared" si="64"/>
        <v>0</v>
      </c>
      <c r="G192" s="172"/>
      <c r="H192" s="249">
        <v>0</v>
      </c>
      <c r="I192" s="302">
        <f>F192-H192</f>
        <v>0</v>
      </c>
    </row>
    <row r="193" spans="1:11">
      <c r="A193" s="106">
        <v>0</v>
      </c>
      <c r="B193" s="74" t="s">
        <v>84</v>
      </c>
      <c r="D193" s="180">
        <v>0</v>
      </c>
      <c r="E193" s="211">
        <f t="shared" si="63"/>
        <v>0</v>
      </c>
      <c r="F193" s="211">
        <f t="shared" si="64"/>
        <v>0</v>
      </c>
      <c r="G193" s="172"/>
      <c r="H193" s="249">
        <v>0</v>
      </c>
      <c r="I193" s="302">
        <f t="shared" ref="I193" si="65">F193-H193</f>
        <v>0</v>
      </c>
    </row>
    <row r="194" spans="1:11">
      <c r="A194" s="106">
        <v>0</v>
      </c>
      <c r="B194" s="74" t="s">
        <v>84</v>
      </c>
      <c r="D194" s="180">
        <v>0</v>
      </c>
      <c r="E194" s="211">
        <f t="shared" si="63"/>
        <v>0</v>
      </c>
      <c r="F194" s="211">
        <f t="shared" si="64"/>
        <v>0</v>
      </c>
      <c r="G194" s="172"/>
      <c r="H194" s="249">
        <v>0</v>
      </c>
      <c r="I194" s="302">
        <f>F194-H194</f>
        <v>0</v>
      </c>
    </row>
    <row r="195" spans="1:11">
      <c r="A195" s="106">
        <v>0</v>
      </c>
      <c r="B195" s="74" t="s">
        <v>84</v>
      </c>
      <c r="D195" s="180">
        <v>0</v>
      </c>
      <c r="E195" s="211">
        <f t="shared" si="51"/>
        <v>0</v>
      </c>
      <c r="F195" s="211">
        <f t="shared" si="64"/>
        <v>0</v>
      </c>
      <c r="G195" s="172"/>
      <c r="H195" s="249">
        <v>0</v>
      </c>
      <c r="I195" s="302">
        <f t="shared" ref="I195" si="66">F195-H195</f>
        <v>0</v>
      </c>
    </row>
    <row r="196" spans="1:11">
      <c r="B196" s="74"/>
      <c r="D196" s="162" t="s">
        <v>11</v>
      </c>
      <c r="E196" s="162" t="s">
        <v>11</v>
      </c>
      <c r="F196" s="165" t="s">
        <v>11</v>
      </c>
      <c r="G196" s="172"/>
    </row>
    <row r="197" spans="1:11">
      <c r="A197" s="106">
        <v>1</v>
      </c>
      <c r="B197" s="117" t="s">
        <v>106</v>
      </c>
      <c r="D197" s="228">
        <v>0</v>
      </c>
      <c r="E197" s="211">
        <f>F197-D197</f>
        <v>0</v>
      </c>
      <c r="F197" s="195">
        <v>0</v>
      </c>
      <c r="G197" s="172"/>
      <c r="H197" s="249">
        <v>0</v>
      </c>
      <c r="I197" s="302">
        <f t="shared" ref="I197" si="67">F197-H197</f>
        <v>0</v>
      </c>
    </row>
    <row r="198" spans="1:11">
      <c r="A198" s="106" t="s">
        <v>11</v>
      </c>
      <c r="B198" s="89" t="s">
        <v>11</v>
      </c>
      <c r="D198" s="164"/>
      <c r="E198" s="164" t="s">
        <v>11</v>
      </c>
      <c r="F198" s="231" t="s">
        <v>11</v>
      </c>
      <c r="G198" s="172"/>
    </row>
    <row r="199" spans="1:11" ht="14.1" thickBot="1">
      <c r="B199" s="78" t="s">
        <v>107</v>
      </c>
      <c r="C199" s="80"/>
      <c r="D199" s="207">
        <f>SUM(D166:D198)</f>
        <v>0</v>
      </c>
      <c r="E199" s="207">
        <f>SUM(E166:E198)</f>
        <v>0</v>
      </c>
      <c r="F199" s="194">
        <f>SUM(F166:F198)</f>
        <v>0</v>
      </c>
      <c r="G199" s="166"/>
      <c r="H199" s="316">
        <f>SUM(H166:H198)</f>
        <v>0</v>
      </c>
      <c r="I199" s="239">
        <f>F199-H199</f>
        <v>0</v>
      </c>
      <c r="J199" s="178" t="s">
        <v>11</v>
      </c>
      <c r="K199" s="176" t="s">
        <v>11</v>
      </c>
    </row>
    <row r="200" spans="1:11" ht="14.1" thickTop="1">
      <c r="C200" s="80"/>
      <c r="D200" s="161"/>
      <c r="E200" s="161"/>
      <c r="F200" s="161"/>
      <c r="G200" s="161"/>
      <c r="I200" s="107" t="s">
        <v>11</v>
      </c>
    </row>
    <row r="201" spans="1:11">
      <c r="C201" s="80"/>
      <c r="D201" s="161"/>
      <c r="E201" s="161"/>
      <c r="F201" s="161"/>
      <c r="G201" s="161"/>
    </row>
    <row r="202" spans="1:11">
      <c r="A202" s="146"/>
      <c r="B202" s="81" t="s">
        <v>108</v>
      </c>
      <c r="C202" s="80"/>
      <c r="D202" s="166"/>
      <c r="E202" s="161"/>
      <c r="F202" s="161"/>
      <c r="G202" s="161"/>
      <c r="H202" s="161"/>
      <c r="I202" s="146"/>
      <c r="J202" s="146"/>
    </row>
    <row r="203" spans="1:11" ht="12" customHeight="1">
      <c r="A203" s="146"/>
      <c r="B203" s="143" t="s">
        <v>109</v>
      </c>
      <c r="C203" s="80"/>
      <c r="D203" s="261">
        <f>'Budget show 1'!E34</f>
        <v>0</v>
      </c>
      <c r="E203" s="261">
        <f>'Budget show 1'!G34</f>
        <v>0</v>
      </c>
      <c r="F203" s="262">
        <f>'Budget show 1'!I34</f>
        <v>0</v>
      </c>
      <c r="H203" s="161"/>
      <c r="I203" s="146"/>
      <c r="J203" s="146"/>
    </row>
    <row r="204" spans="1:11" ht="12" customHeight="1">
      <c r="A204" s="146"/>
      <c r="B204" s="143" t="s">
        <v>43</v>
      </c>
      <c r="C204" s="80"/>
      <c r="D204" s="263">
        <f>'Budget show 1'!E35</f>
        <v>0</v>
      </c>
      <c r="E204" s="263">
        <f>'Budget show 1'!G35</f>
        <v>0</v>
      </c>
      <c r="F204" s="264">
        <f>'Budget show 1'!I35</f>
        <v>0</v>
      </c>
      <c r="H204" s="161"/>
      <c r="I204" s="146"/>
      <c r="J204" s="146"/>
    </row>
    <row r="205" spans="1:11" ht="12" customHeight="1">
      <c r="A205" s="146"/>
      <c r="B205" s="143" t="s">
        <v>48</v>
      </c>
      <c r="C205" s="80"/>
      <c r="D205" s="263">
        <f>'Budget show 1'!E40</f>
        <v>0</v>
      </c>
      <c r="E205" s="263">
        <f>'Budget show 1'!G40</f>
        <v>0</v>
      </c>
      <c r="F205" s="264">
        <f>'Budget show 1'!I143</f>
        <v>0</v>
      </c>
      <c r="H205" s="161"/>
      <c r="I205" s="146"/>
      <c r="J205" s="146"/>
    </row>
    <row r="206" spans="1:11" ht="12" customHeight="1">
      <c r="A206" s="146"/>
      <c r="B206" s="143" t="s">
        <v>49</v>
      </c>
      <c r="C206" s="80"/>
      <c r="D206" s="263">
        <f>'Budget show 1'!E41</f>
        <v>0</v>
      </c>
      <c r="E206" s="263">
        <f>'Budget show 1'!G41</f>
        <v>0</v>
      </c>
      <c r="F206" s="264">
        <f>'Budget show 1'!I144</f>
        <v>0</v>
      </c>
      <c r="H206" s="161"/>
      <c r="I206" s="146"/>
      <c r="J206" s="146"/>
    </row>
    <row r="207" spans="1:11" ht="12" customHeight="1">
      <c r="A207" s="146"/>
      <c r="B207" s="143" t="s">
        <v>50</v>
      </c>
      <c r="C207" s="80"/>
      <c r="D207" s="263">
        <f>'Budget show 1'!E42</f>
        <v>0</v>
      </c>
      <c r="E207" s="263">
        <f>'Budget show 1'!G42</f>
        <v>0</v>
      </c>
      <c r="F207" s="264">
        <f>'Budget show 1'!I145</f>
        <v>0</v>
      </c>
      <c r="H207" s="161"/>
      <c r="I207" s="146"/>
      <c r="J207" s="146"/>
    </row>
    <row r="208" spans="1:11" ht="12" customHeight="1">
      <c r="A208" s="146"/>
      <c r="B208" s="143" t="s">
        <v>50</v>
      </c>
      <c r="C208" s="80"/>
      <c r="D208" s="263">
        <f>'Budget show 1'!E43</f>
        <v>0</v>
      </c>
      <c r="E208" s="263">
        <f>'Budget show 1'!G43</f>
        <v>0</v>
      </c>
      <c r="F208" s="264">
        <f>'Budget show 1'!I146</f>
        <v>0</v>
      </c>
      <c r="H208" s="161"/>
      <c r="I208" s="146"/>
      <c r="J208" s="146"/>
    </row>
    <row r="209" spans="1:11" ht="12" customHeight="1">
      <c r="A209" s="146"/>
      <c r="B209" s="260" t="s">
        <v>51</v>
      </c>
      <c r="C209" s="80"/>
      <c r="D209" s="263">
        <f>'Budget show 1'!E44</f>
        <v>0</v>
      </c>
      <c r="E209" s="263">
        <f>'Budget show 1'!G44</f>
        <v>0</v>
      </c>
      <c r="F209" s="264">
        <f>'Budget show 1'!I147</f>
        <v>0</v>
      </c>
      <c r="H209" s="161"/>
      <c r="I209" s="146"/>
      <c r="J209" s="146"/>
    </row>
    <row r="210" spans="1:11" ht="12" customHeight="1">
      <c r="A210" s="146"/>
      <c r="B210" s="143" t="s">
        <v>52</v>
      </c>
      <c r="C210" s="80"/>
      <c r="D210" s="263">
        <f>'Budget show 1'!E45</f>
        <v>0</v>
      </c>
      <c r="E210" s="263">
        <f>'Budget show 1'!G45</f>
        <v>0</v>
      </c>
      <c r="F210" s="118"/>
      <c r="H210" s="161"/>
      <c r="I210" s="146"/>
      <c r="J210" s="146"/>
    </row>
    <row r="211" spans="1:11">
      <c r="A211" s="146"/>
      <c r="B211" s="76" t="s">
        <v>11</v>
      </c>
      <c r="C211" s="80"/>
      <c r="D211" s="110">
        <v>0</v>
      </c>
      <c r="E211" s="119">
        <f>F211-D211</f>
        <v>0</v>
      </c>
      <c r="F211" s="118"/>
      <c r="H211" s="161"/>
      <c r="I211" s="146"/>
      <c r="J211" s="146"/>
    </row>
    <row r="212" spans="1:11">
      <c r="A212" s="146"/>
      <c r="B212" s="76"/>
      <c r="C212" s="80"/>
      <c r="D212" s="110">
        <v>0</v>
      </c>
      <c r="E212" s="119">
        <f>F212-D212</f>
        <v>0</v>
      </c>
      <c r="F212" s="118"/>
      <c r="H212" s="161"/>
      <c r="I212" s="146"/>
      <c r="J212" s="146"/>
    </row>
    <row r="213" spans="1:11">
      <c r="A213" s="146"/>
      <c r="B213" s="76"/>
      <c r="C213" s="80"/>
      <c r="D213" s="110">
        <v>0</v>
      </c>
      <c r="E213" s="119">
        <f>F213-D213</f>
        <v>0</v>
      </c>
      <c r="F213" s="118"/>
      <c r="H213" s="161"/>
      <c r="I213" s="146"/>
      <c r="J213" s="146"/>
    </row>
    <row r="214" spans="1:11">
      <c r="A214" s="146"/>
      <c r="B214" s="76"/>
      <c r="C214" s="80"/>
      <c r="D214" s="110">
        <v>0</v>
      </c>
      <c r="E214" s="119">
        <f>F214-D214</f>
        <v>0</v>
      </c>
      <c r="F214" s="118"/>
      <c r="H214" s="161"/>
      <c r="I214" s="146"/>
      <c r="J214" s="146"/>
    </row>
    <row r="215" spans="1:11">
      <c r="A215" s="146"/>
      <c r="B215" s="82" t="s">
        <v>11</v>
      </c>
      <c r="C215" s="80"/>
      <c r="D215" s="196" t="s">
        <v>11</v>
      </c>
      <c r="E215" s="197" t="s">
        <v>11</v>
      </c>
      <c r="F215" s="144"/>
      <c r="H215" s="154" t="s">
        <v>83</v>
      </c>
      <c r="I215" s="154" t="s">
        <v>77</v>
      </c>
    </row>
    <row r="216" spans="1:11" ht="14.1" thickBot="1">
      <c r="A216" s="146"/>
      <c r="B216" s="97" t="str">
        <f>B202</f>
        <v>Hoynck bv Project Management</v>
      </c>
      <c r="C216" s="80"/>
      <c r="D216" s="217">
        <f>SUM(D203:D215)</f>
        <v>0</v>
      </c>
      <c r="E216" s="217">
        <f>SUM(E203:E215)</f>
        <v>0</v>
      </c>
      <c r="F216" s="192">
        <f>SUM(F203:F215)</f>
        <v>0</v>
      </c>
      <c r="H216" s="167">
        <v>0</v>
      </c>
      <c r="I216" s="168">
        <f>F216-H216</f>
        <v>0</v>
      </c>
    </row>
    <row r="217" spans="1:11" ht="14.1" thickTop="1">
      <c r="C217" s="80"/>
      <c r="D217" s="161"/>
      <c r="E217" s="161"/>
      <c r="F217" s="161"/>
      <c r="G217" s="161"/>
    </row>
    <row r="218" spans="1:11">
      <c r="C218" s="80"/>
      <c r="D218" s="161"/>
      <c r="E218" s="161"/>
      <c r="F218" s="161"/>
      <c r="G218" s="161"/>
    </row>
    <row r="219" spans="1:11">
      <c r="B219" s="81" t="s">
        <v>110</v>
      </c>
      <c r="C219" s="80"/>
      <c r="D219" s="161"/>
      <c r="E219" s="161"/>
      <c r="F219" s="161"/>
      <c r="G219" s="161"/>
    </row>
    <row r="220" spans="1:11">
      <c r="B220" s="74" t="s">
        <v>111</v>
      </c>
      <c r="C220" s="80"/>
      <c r="D220" s="201">
        <f>D160</f>
        <v>0</v>
      </c>
      <c r="E220" s="202">
        <f>E160</f>
        <v>0</v>
      </c>
      <c r="F220" s="198">
        <f>F160</f>
        <v>0</v>
      </c>
      <c r="G220" s="161"/>
      <c r="H220" s="312">
        <f>IFERROR(F220/F223,0)</f>
        <v>0</v>
      </c>
      <c r="K220" s="146"/>
    </row>
    <row r="221" spans="1:11">
      <c r="B221" s="74" t="s">
        <v>112</v>
      </c>
      <c r="C221" s="80"/>
      <c r="D221" s="204">
        <f>D199</f>
        <v>0</v>
      </c>
      <c r="E221" s="203">
        <f>E199</f>
        <v>0</v>
      </c>
      <c r="F221" s="199">
        <f>F199</f>
        <v>0</v>
      </c>
      <c r="G221" s="161"/>
      <c r="H221" s="313">
        <f>IFERROR(F221/F224,0)</f>
        <v>0</v>
      </c>
      <c r="K221" s="146"/>
    </row>
    <row r="222" spans="1:11">
      <c r="B222" s="89" t="s">
        <v>113</v>
      </c>
      <c r="C222" s="80"/>
      <c r="D222" s="205">
        <f>D216</f>
        <v>0</v>
      </c>
      <c r="E222" s="206">
        <f>E216</f>
        <v>0</v>
      </c>
      <c r="F222" s="200">
        <f>F216</f>
        <v>0</v>
      </c>
      <c r="G222" s="161"/>
      <c r="H222" s="314">
        <f>IFERROR(F222/F225,0)</f>
        <v>0</v>
      </c>
      <c r="K222" s="146"/>
    </row>
    <row r="223" spans="1:11" ht="14.1" thickBot="1">
      <c r="B223" s="84" t="s">
        <v>114</v>
      </c>
      <c r="C223" s="80"/>
      <c r="D223" s="207">
        <f>SUM(D220:D222)</f>
        <v>0</v>
      </c>
      <c r="E223" s="208">
        <f>SUM(E220:E222)</f>
        <v>0</v>
      </c>
      <c r="F223" s="192">
        <f>SUM(F220:F222)</f>
        <v>0</v>
      </c>
      <c r="G223" s="166"/>
      <c r="H223" s="86" t="s">
        <v>11</v>
      </c>
      <c r="K223" s="146"/>
    </row>
    <row r="224" spans="1:11" ht="14.1" thickTop="1">
      <c r="C224" s="80"/>
      <c r="D224" s="166"/>
      <c r="E224" s="203">
        <f>F223-D223</f>
        <v>0</v>
      </c>
      <c r="F224" s="185" t="s">
        <v>115</v>
      </c>
      <c r="G224" s="186"/>
      <c r="H224" s="86" t="s">
        <v>11</v>
      </c>
      <c r="K224" s="146"/>
    </row>
    <row r="225" spans="2:11" ht="12" customHeight="1">
      <c r="C225" s="80"/>
      <c r="D225" s="166"/>
      <c r="E225" s="218">
        <f>IFERROR(E223/F223,0)</f>
        <v>0</v>
      </c>
      <c r="F225" s="209">
        <f>IFERROR(F223/$A$10,0)</f>
        <v>0</v>
      </c>
      <c r="G225" s="187"/>
      <c r="H225" s="86" t="s">
        <v>11</v>
      </c>
      <c r="K225" s="146"/>
    </row>
    <row r="226" spans="2:11">
      <c r="C226" s="80"/>
      <c r="D226" s="161"/>
      <c r="E226" s="161"/>
      <c r="F226" s="166"/>
      <c r="G226" s="166"/>
      <c r="H226" s="86" t="s">
        <v>11</v>
      </c>
      <c r="J226" s="85"/>
    </row>
    <row r="227" spans="2:11">
      <c r="C227" s="80"/>
      <c r="D227" s="161"/>
      <c r="E227" s="161"/>
      <c r="F227" s="166"/>
      <c r="G227" s="166"/>
      <c r="H227" s="73" t="s">
        <v>83</v>
      </c>
      <c r="I227" s="73" t="s">
        <v>77</v>
      </c>
      <c r="J227" s="85"/>
    </row>
    <row r="228" spans="2:11">
      <c r="B228" s="81" t="s">
        <v>116</v>
      </c>
      <c r="C228" s="72"/>
      <c r="D228" s="188">
        <v>0</v>
      </c>
      <c r="E228" s="212">
        <f>F228-D228</f>
        <v>0</v>
      </c>
      <c r="F228" s="191">
        <v>0</v>
      </c>
      <c r="G228" s="161"/>
      <c r="H228" s="229">
        <v>0</v>
      </c>
      <c r="I228" s="267">
        <f>F228-H228</f>
        <v>0</v>
      </c>
      <c r="J228" s="85"/>
    </row>
    <row r="229" spans="2:11">
      <c r="B229" s="81" t="s">
        <v>117</v>
      </c>
      <c r="C229" s="72"/>
      <c r="D229" s="188">
        <v>0</v>
      </c>
      <c r="E229" s="212">
        <f t="shared" ref="E229" si="68">F229-D229</f>
        <v>0</v>
      </c>
      <c r="F229" s="191">
        <v>0</v>
      </c>
      <c r="G229" s="161"/>
      <c r="H229" s="229">
        <v>0</v>
      </c>
      <c r="I229" s="267">
        <f>F229-H229</f>
        <v>0</v>
      </c>
      <c r="J229" s="85"/>
    </row>
    <row r="230" spans="2:11">
      <c r="C230" s="146"/>
      <c r="D230" s="161"/>
      <c r="E230" s="243" t="s">
        <v>118</v>
      </c>
      <c r="F230" s="244" cm="1">
        <f t="array" aca="1" ref="F230" ca="1">IFERROR(F228/F223F223,0)</f>
        <v>0</v>
      </c>
      <c r="G230" s="189"/>
      <c r="J230" s="85"/>
    </row>
    <row r="231" spans="2:11">
      <c r="C231" s="80"/>
      <c r="D231" s="161"/>
      <c r="E231" s="161"/>
      <c r="F231" s="166"/>
      <c r="G231" s="166"/>
      <c r="J231" s="85"/>
    </row>
    <row r="232" spans="2:11">
      <c r="C232" s="80"/>
      <c r="D232" s="161"/>
      <c r="E232" s="161"/>
      <c r="F232" s="166"/>
      <c r="G232" s="166"/>
      <c r="H232" s="73" t="s">
        <v>83</v>
      </c>
      <c r="I232" s="73" t="s">
        <v>77</v>
      </c>
      <c r="J232" s="85"/>
    </row>
    <row r="233" spans="2:11" ht="14.1" thickBot="1">
      <c r="B233" s="84" t="s">
        <v>119</v>
      </c>
      <c r="C233" s="80"/>
      <c r="D233" s="216">
        <f>D223+D228+D229</f>
        <v>0</v>
      </c>
      <c r="E233" s="255">
        <f>E223+E228+E229</f>
        <v>0</v>
      </c>
      <c r="F233" s="245">
        <f>F223+F228+F229</f>
        <v>0</v>
      </c>
      <c r="G233" s="166"/>
      <c r="H233" s="269">
        <f>H160+H199+H216+H228</f>
        <v>0</v>
      </c>
      <c r="I233" s="268">
        <f>F233-H233</f>
        <v>0</v>
      </c>
      <c r="J233" s="85"/>
      <c r="K233" s="146"/>
    </row>
    <row r="234" spans="2:11" ht="14.1" thickTop="1">
      <c r="C234" s="80"/>
      <c r="D234" s="166"/>
      <c r="E234" s="203">
        <f>F233-D233</f>
        <v>0</v>
      </c>
      <c r="F234" s="185" t="s">
        <v>115</v>
      </c>
      <c r="G234" s="166"/>
      <c r="J234" s="85"/>
      <c r="K234" s="146"/>
    </row>
    <row r="235" spans="2:11">
      <c r="C235" s="80"/>
      <c r="D235" s="166"/>
      <c r="E235" s="218">
        <f>IFERROR(E233/F233,0)</f>
        <v>0</v>
      </c>
      <c r="F235" s="209">
        <f>IFERROR(F233/$A$10,0)</f>
        <v>0</v>
      </c>
      <c r="G235" s="166"/>
      <c r="J235" s="85"/>
      <c r="K235" s="146"/>
    </row>
    <row r="236" spans="2:11">
      <c r="C236" s="80"/>
      <c r="D236" s="166"/>
      <c r="E236" s="161"/>
      <c r="F236" s="166"/>
      <c r="G236" s="166"/>
      <c r="J236" s="85"/>
      <c r="K236" s="146"/>
    </row>
    <row r="237" spans="2:11">
      <c r="B237" s="272" t="s">
        <v>38</v>
      </c>
      <c r="C237" s="67"/>
      <c r="D237" s="253"/>
      <c r="E237" s="253"/>
      <c r="F237" s="253"/>
      <c r="G237" s="166"/>
      <c r="J237" s="85"/>
      <c r="K237" s="146"/>
    </row>
    <row r="238" spans="2:11">
      <c r="B238" s="87" t="s">
        <v>120</v>
      </c>
      <c r="C238" s="67"/>
      <c r="D238" s="317">
        <f>'Budget show 1'!E36</f>
        <v>0</v>
      </c>
      <c r="E238" s="257">
        <f>'Budget show 1'!G36</f>
        <v>0</v>
      </c>
      <c r="F238" s="274"/>
      <c r="G238" s="166"/>
      <c r="J238" s="85"/>
      <c r="K238" s="146"/>
    </row>
    <row r="239" spans="2:11">
      <c r="B239" s="74" t="s">
        <v>121</v>
      </c>
      <c r="C239" s="67"/>
      <c r="D239" s="318">
        <f>'Budget show 1'!E37</f>
        <v>0</v>
      </c>
      <c r="E239" s="75">
        <f>'Budget show 1'!G37</f>
        <v>0</v>
      </c>
      <c r="F239" s="275"/>
      <c r="G239" s="166"/>
      <c r="J239" s="85"/>
      <c r="K239" s="146"/>
    </row>
    <row r="240" spans="2:11">
      <c r="B240" s="74" t="s">
        <v>122</v>
      </c>
      <c r="C240" s="67"/>
      <c r="D240" s="318">
        <f>'Budget show 1'!E38</f>
        <v>0</v>
      </c>
      <c r="E240" s="75">
        <f>'Budget show 1'!G38</f>
        <v>0</v>
      </c>
      <c r="F240" s="275"/>
      <c r="G240" s="166"/>
      <c r="J240" s="85"/>
      <c r="K240" s="146"/>
    </row>
    <row r="241" spans="1:11">
      <c r="B241" s="74" t="s">
        <v>123</v>
      </c>
      <c r="C241" s="67"/>
      <c r="D241" s="318">
        <f>'Budget show 1'!E39</f>
        <v>0</v>
      </c>
      <c r="E241" s="75">
        <f>'Budget show 1'!G39</f>
        <v>0</v>
      </c>
      <c r="F241" s="275"/>
      <c r="G241" s="166"/>
      <c r="J241" s="85"/>
      <c r="K241" s="146"/>
    </row>
    <row r="242" spans="1:11">
      <c r="B242" s="74"/>
      <c r="C242" s="67"/>
      <c r="D242" s="276"/>
      <c r="E242" s="77"/>
      <c r="F242" s="275"/>
      <c r="G242" s="166"/>
      <c r="J242" s="85"/>
      <c r="K242" s="146"/>
    </row>
    <row r="243" spans="1:11">
      <c r="B243" s="89" t="s">
        <v>11</v>
      </c>
      <c r="C243" s="67"/>
      <c r="D243" s="277" t="s">
        <v>11</v>
      </c>
      <c r="E243" s="83" t="s">
        <v>11</v>
      </c>
      <c r="F243" s="83" t="s">
        <v>11</v>
      </c>
      <c r="G243" s="166"/>
      <c r="J243" s="85"/>
      <c r="K243" s="146"/>
    </row>
    <row r="244" spans="1:11" ht="14.1" thickBot="1">
      <c r="B244" s="278" t="s">
        <v>124</v>
      </c>
      <c r="C244" s="67"/>
      <c r="D244" s="279">
        <f>SUM(D238:D243)</f>
        <v>0</v>
      </c>
      <c r="E244" s="279">
        <f>SUM(E238:E243)</f>
        <v>0</v>
      </c>
      <c r="F244" s="83" t="s">
        <v>11</v>
      </c>
      <c r="G244" s="166"/>
      <c r="J244" s="85"/>
      <c r="K244" s="146"/>
    </row>
    <row r="245" spans="1:11" ht="14.1" thickTop="1">
      <c r="C245" s="80"/>
      <c r="D245" s="166"/>
      <c r="E245" s="161"/>
      <c r="F245" s="166"/>
      <c r="G245" s="166"/>
      <c r="J245" s="85"/>
      <c r="K245" s="146"/>
    </row>
    <row r="246" spans="1:11" ht="14.1" thickBot="1">
      <c r="B246" s="84" t="s">
        <v>125</v>
      </c>
      <c r="C246" s="333"/>
      <c r="D246" s="280">
        <f>D244+D233</f>
        <v>0</v>
      </c>
      <c r="E246" s="280">
        <f>E244+E233</f>
        <v>0</v>
      </c>
      <c r="F246" s="332">
        <f>F233</f>
        <v>0</v>
      </c>
      <c r="G246" s="166"/>
      <c r="J246" s="85"/>
      <c r="K246" s="146"/>
    </row>
    <row r="247" spans="1:11" ht="14.1" thickTop="1">
      <c r="C247" s="80"/>
      <c r="D247" s="281"/>
      <c r="E247" s="75">
        <f>F246-D246</f>
        <v>0</v>
      </c>
      <c r="F247" s="282" t="s">
        <v>115</v>
      </c>
      <c r="G247" s="166"/>
      <c r="J247" s="85"/>
      <c r="K247" s="146"/>
    </row>
    <row r="248" spans="1:11">
      <c r="C248" s="80"/>
      <c r="D248" s="281"/>
      <c r="E248" s="218">
        <f>IFERROR(E246/F246,0)</f>
        <v>0</v>
      </c>
      <c r="F248" s="283">
        <f>IFERROR(F246/$A$10,0)</f>
        <v>0</v>
      </c>
      <c r="G248" s="166"/>
      <c r="J248" s="85"/>
      <c r="K248" s="146"/>
    </row>
    <row r="249" spans="1:11">
      <c r="B249" s="107"/>
      <c r="C249" s="85"/>
      <c r="E249" s="85"/>
      <c r="G249" s="166"/>
      <c r="J249" s="85"/>
      <c r="K249" s="146"/>
    </row>
    <row r="250" spans="1:11">
      <c r="B250" s="81" t="s">
        <v>126</v>
      </c>
      <c r="C250" s="80"/>
      <c r="D250" s="166"/>
      <c r="E250" s="161"/>
      <c r="F250" s="166"/>
      <c r="G250" s="166"/>
      <c r="H250" s="293" t="s">
        <v>83</v>
      </c>
      <c r="I250" s="293" t="s">
        <v>77</v>
      </c>
      <c r="J250" s="85"/>
      <c r="K250" s="146"/>
    </row>
    <row r="251" spans="1:11">
      <c r="A251" s="158">
        <v>0</v>
      </c>
      <c r="B251" s="159" t="s">
        <v>84</v>
      </c>
      <c r="D251" s="273">
        <v>0</v>
      </c>
      <c r="E251" s="292">
        <f>F251-D251</f>
        <v>0</v>
      </c>
      <c r="F251" s="171">
        <f t="shared" ref="F251:F252" si="69">ROUNDUP((D251*fee/5),0)*5</f>
        <v>0</v>
      </c>
      <c r="G251" s="172"/>
      <c r="H251" s="294">
        <v>0</v>
      </c>
      <c r="I251" s="295">
        <f>F251-H251</f>
        <v>0</v>
      </c>
      <c r="J251" s="85"/>
      <c r="K251" s="146"/>
    </row>
    <row r="252" spans="1:11" ht="14.1" thickBot="1">
      <c r="A252" s="106">
        <v>0</v>
      </c>
      <c r="B252" s="89" t="s">
        <v>84</v>
      </c>
      <c r="C252" s="80"/>
      <c r="D252" s="320">
        <v>0</v>
      </c>
      <c r="E252" s="327">
        <f>F252-D252</f>
        <v>0</v>
      </c>
      <c r="F252" s="163">
        <f t="shared" si="69"/>
        <v>0</v>
      </c>
      <c r="G252" s="166"/>
      <c r="H252" s="296">
        <v>0</v>
      </c>
      <c r="I252" s="297">
        <f>F252-H252</f>
        <v>0</v>
      </c>
      <c r="J252" s="85"/>
      <c r="K252" s="146"/>
    </row>
    <row r="253" spans="1:11" ht="15" thickTop="1" thickBot="1">
      <c r="B253" s="278" t="s">
        <v>127</v>
      </c>
      <c r="C253" s="67"/>
      <c r="D253" s="319">
        <f>SUM(D251:D252)</f>
        <v>0</v>
      </c>
      <c r="E253" s="319">
        <f>SUM(E251:E252)</f>
        <v>0</v>
      </c>
      <c r="F253" s="330">
        <f>SUM(F251:F252)</f>
        <v>0</v>
      </c>
      <c r="G253" s="146"/>
      <c r="J253" s="85"/>
      <c r="K253" s="146"/>
    </row>
    <row r="254" spans="1:11" ht="14.1" thickTop="1">
      <c r="C254" s="80"/>
      <c r="D254" s="166"/>
      <c r="E254" s="161"/>
      <c r="F254" s="166"/>
      <c r="G254" s="166"/>
      <c r="J254" s="85"/>
      <c r="K254" s="146"/>
    </row>
    <row r="255" spans="1:11">
      <c r="C255" s="80"/>
      <c r="D255" s="166"/>
      <c r="E255" s="161"/>
      <c r="F255" s="166"/>
      <c r="G255" s="166"/>
      <c r="H255" s="73" t="s">
        <v>83</v>
      </c>
      <c r="I255" s="73" t="s">
        <v>77</v>
      </c>
      <c r="J255" s="85"/>
      <c r="K255" s="146"/>
    </row>
    <row r="256" spans="1:11" ht="14.1" thickBot="1">
      <c r="B256" s="84" t="s">
        <v>128</v>
      </c>
      <c r="C256" s="80"/>
      <c r="D256" s="216">
        <f>D246+D253</f>
        <v>0</v>
      </c>
      <c r="E256" s="216">
        <f>E246+E253</f>
        <v>0</v>
      </c>
      <c r="F256" s="192">
        <f>F246+F253</f>
        <v>0</v>
      </c>
      <c r="G256" s="166"/>
      <c r="H256" s="269">
        <f>H233+H251+H252</f>
        <v>0</v>
      </c>
      <c r="I256" s="268">
        <f>F256-H256</f>
        <v>0</v>
      </c>
      <c r="J256" s="85"/>
      <c r="K256" s="146"/>
    </row>
    <row r="257" spans="2:11" ht="14.1" thickTop="1">
      <c r="C257" s="80"/>
      <c r="D257" s="166"/>
      <c r="E257" s="203">
        <f>F256-D256</f>
        <v>0</v>
      </c>
      <c r="F257" s="185" t="s">
        <v>115</v>
      </c>
      <c r="G257" s="166"/>
      <c r="J257" s="85"/>
      <c r="K257" s="146"/>
    </row>
    <row r="258" spans="2:11">
      <c r="C258" s="80"/>
      <c r="D258" s="166"/>
      <c r="E258" s="218">
        <f>IFERROR(E256/F256,0)</f>
        <v>0</v>
      </c>
      <c r="F258" s="209">
        <f>IFERROR(F256/$A$10,0)</f>
        <v>0</v>
      </c>
      <c r="G258" s="166"/>
      <c r="J258" s="85"/>
      <c r="K258" s="146"/>
    </row>
    <row r="259" spans="2:11">
      <c r="C259" s="80"/>
      <c r="D259" s="146"/>
      <c r="E259" s="146"/>
      <c r="F259" s="146"/>
      <c r="G259" s="166"/>
      <c r="J259" s="85"/>
      <c r="K259" s="146"/>
    </row>
    <row r="260" spans="2:11">
      <c r="C260" s="80"/>
      <c r="D260" s="281"/>
      <c r="G260" s="166"/>
      <c r="J260" s="85"/>
      <c r="K260" s="146"/>
    </row>
    <row r="261" spans="2:11" ht="12.75">
      <c r="B261" s="391" t="s">
        <v>129</v>
      </c>
      <c r="C261" s="80"/>
      <c r="D261" s="281"/>
      <c r="F261" s="331"/>
      <c r="G261" s="166"/>
      <c r="H261" s="293" t="s">
        <v>83</v>
      </c>
      <c r="I261" s="293" t="s">
        <v>77</v>
      </c>
      <c r="J261" s="85"/>
      <c r="K261" s="146"/>
    </row>
    <row r="262" spans="2:11">
      <c r="B262" s="87"/>
      <c r="C262" s="80"/>
      <c r="D262" s="273">
        <v>0</v>
      </c>
      <c r="E262" s="298">
        <f>F262-D262</f>
        <v>0</v>
      </c>
      <c r="F262" s="163">
        <f t="shared" ref="F262:F263" si="70">ROUNDUP((D262*fee/5),0)*5</f>
        <v>0</v>
      </c>
      <c r="G262" s="146"/>
      <c r="H262" s="294">
        <v>0</v>
      </c>
      <c r="I262" s="295">
        <f>F262-H262</f>
        <v>0</v>
      </c>
      <c r="J262" s="85"/>
      <c r="K262" s="146"/>
    </row>
    <row r="263" spans="2:11" ht="14.1" thickBot="1">
      <c r="B263" s="74"/>
      <c r="C263" s="80"/>
      <c r="D263" s="320">
        <v>0</v>
      </c>
      <c r="E263" s="321">
        <f>F263-D263</f>
        <v>0</v>
      </c>
      <c r="F263" s="163">
        <f t="shared" si="70"/>
        <v>0</v>
      </c>
      <c r="G263" s="146"/>
      <c r="H263" s="296">
        <v>0</v>
      </c>
      <c r="I263" s="297">
        <f>F263-H263</f>
        <v>0</v>
      </c>
      <c r="J263" s="85"/>
      <c r="K263" s="146"/>
    </row>
    <row r="264" spans="2:11" ht="15" thickTop="1" thickBot="1">
      <c r="B264" s="278" t="s">
        <v>130</v>
      </c>
      <c r="C264" s="67"/>
      <c r="D264" s="319">
        <f>SUM(D262:D263)</f>
        <v>0</v>
      </c>
      <c r="E264" s="319">
        <f>SUM(E262:E263)</f>
        <v>0</v>
      </c>
      <c r="F264" s="330">
        <f>SUM(F262:F263)</f>
        <v>0</v>
      </c>
      <c r="G264" s="146"/>
      <c r="J264" s="85"/>
      <c r="K264" s="146"/>
    </row>
    <row r="265" spans="2:11" ht="14.1" thickTop="1">
      <c r="J265" s="85"/>
      <c r="K265" s="146"/>
    </row>
    <row r="266" spans="2:11">
      <c r="C266" s="80"/>
      <c r="D266" s="281"/>
      <c r="F266" s="85"/>
      <c r="G266" s="146"/>
      <c r="H266" s="73" t="s">
        <v>83</v>
      </c>
      <c r="I266" s="73" t="s">
        <v>77</v>
      </c>
      <c r="J266" s="85"/>
      <c r="K266" s="146"/>
    </row>
    <row r="267" spans="2:11" ht="14.1" thickBot="1">
      <c r="B267" s="84" t="s">
        <v>131</v>
      </c>
      <c r="C267" s="333"/>
      <c r="D267" s="280">
        <f>D264+D256</f>
        <v>0</v>
      </c>
      <c r="E267" s="280">
        <f>E256+E264</f>
        <v>0</v>
      </c>
      <c r="F267" s="332">
        <f>F256+F264</f>
        <v>0</v>
      </c>
      <c r="G267" s="146"/>
      <c r="H267" s="269">
        <f>H256+H262+H263</f>
        <v>0</v>
      </c>
      <c r="I267" s="268">
        <f>F267-H267</f>
        <v>0</v>
      </c>
      <c r="J267" s="146"/>
      <c r="K267" s="146"/>
    </row>
    <row r="268" spans="2:11" ht="14.1" thickTop="1">
      <c r="C268" s="80"/>
      <c r="D268" s="281"/>
      <c r="E268" s="75">
        <f>F267-D267</f>
        <v>0</v>
      </c>
      <c r="F268" s="282" t="s">
        <v>115</v>
      </c>
      <c r="G268" s="146"/>
      <c r="J268" s="85"/>
      <c r="K268" s="146"/>
    </row>
    <row r="269" spans="2:11">
      <c r="C269" s="80"/>
      <c r="D269" s="281"/>
      <c r="E269" s="218">
        <f>IFERROR(E267/F267,0)</f>
        <v>0</v>
      </c>
      <c r="F269" s="283">
        <f>IFERROR(F267/$A$10,0)</f>
        <v>0</v>
      </c>
      <c r="G269" s="146"/>
      <c r="J269" s="85"/>
      <c r="K269" s="146"/>
    </row>
    <row r="270" spans="2:11">
      <c r="C270" s="80"/>
      <c r="D270" s="281"/>
      <c r="F270" s="85"/>
      <c r="G270" s="146"/>
      <c r="J270" s="85"/>
      <c r="K270" s="146"/>
    </row>
    <row r="271" spans="2:11">
      <c r="B271" s="81" t="s">
        <v>132</v>
      </c>
      <c r="C271" s="80"/>
      <c r="D271" s="166"/>
      <c r="E271" s="161"/>
      <c r="F271" s="166"/>
      <c r="G271" s="146"/>
      <c r="J271" s="85"/>
      <c r="K271" s="146"/>
    </row>
    <row r="272" spans="2:11">
      <c r="B272" s="74" t="s">
        <v>11</v>
      </c>
      <c r="C272" s="80"/>
      <c r="D272" s="241" t="s">
        <v>11</v>
      </c>
      <c r="E272" s="160" t="s">
        <v>11</v>
      </c>
      <c r="F272" s="246" t="s">
        <v>11</v>
      </c>
      <c r="G272" s="146"/>
      <c r="J272" s="85"/>
      <c r="K272" s="146"/>
    </row>
    <row r="273" spans="1:11">
      <c r="B273" s="88" t="s">
        <v>133</v>
      </c>
      <c r="C273" s="80"/>
      <c r="D273" s="183" t="s">
        <v>11</v>
      </c>
      <c r="E273" s="162" t="s">
        <v>11</v>
      </c>
      <c r="F273" s="177" t="s">
        <v>11</v>
      </c>
      <c r="G273" s="146"/>
      <c r="J273" s="85"/>
      <c r="K273" s="146"/>
    </row>
    <row r="274" spans="1:11">
      <c r="B274" s="74" t="s">
        <v>84</v>
      </c>
      <c r="C274" s="80" t="s">
        <v>11</v>
      </c>
      <c r="D274" s="180">
        <v>0</v>
      </c>
      <c r="E274" s="211">
        <f t="shared" ref="E274:E275" si="71">F274-D274</f>
        <v>0</v>
      </c>
      <c r="F274" s="163">
        <f t="shared" ref="F274:F278" si="72">ROUNDUP((D274*fee/5),0)*5</f>
        <v>0</v>
      </c>
      <c r="G274" s="146"/>
      <c r="J274" s="85"/>
      <c r="K274" s="146"/>
    </row>
    <row r="275" spans="1:11">
      <c r="A275" s="106" t="s">
        <v>11</v>
      </c>
      <c r="B275" s="74" t="s">
        <v>84</v>
      </c>
      <c r="C275" s="80"/>
      <c r="D275" s="180">
        <v>0</v>
      </c>
      <c r="E275" s="211">
        <f t="shared" si="71"/>
        <v>0</v>
      </c>
      <c r="F275" s="163">
        <f t="shared" si="72"/>
        <v>0</v>
      </c>
      <c r="G275" s="146"/>
      <c r="J275" s="85"/>
      <c r="K275" s="146"/>
    </row>
    <row r="276" spans="1:11">
      <c r="A276" s="106" t="s">
        <v>11</v>
      </c>
      <c r="B276" s="74" t="s">
        <v>84</v>
      </c>
      <c r="C276" s="80" t="s">
        <v>11</v>
      </c>
      <c r="D276" s="180">
        <v>0</v>
      </c>
      <c r="E276" s="211">
        <f>F276-D276</f>
        <v>0</v>
      </c>
      <c r="F276" s="163">
        <f t="shared" si="72"/>
        <v>0</v>
      </c>
      <c r="G276" s="146"/>
      <c r="J276" s="85"/>
      <c r="K276" s="146"/>
    </row>
    <row r="277" spans="1:11">
      <c r="A277" s="106">
        <v>0</v>
      </c>
      <c r="B277" s="74" t="s">
        <v>84</v>
      </c>
      <c r="C277" s="80" t="s">
        <v>11</v>
      </c>
      <c r="D277" s="180">
        <v>0</v>
      </c>
      <c r="E277" s="211">
        <f t="shared" ref="E277" si="73">F277-D277</f>
        <v>0</v>
      </c>
      <c r="F277" s="163">
        <f t="shared" si="72"/>
        <v>0</v>
      </c>
      <c r="G277" s="146"/>
      <c r="J277" s="85"/>
      <c r="K277" s="146"/>
    </row>
    <row r="278" spans="1:11" ht="14.1" thickBot="1">
      <c r="B278" s="74" t="s">
        <v>84</v>
      </c>
      <c r="C278" s="80" t="s">
        <v>11</v>
      </c>
      <c r="D278" s="324">
        <v>0</v>
      </c>
      <c r="E278" s="325">
        <f>F278-D278</f>
        <v>0</v>
      </c>
      <c r="F278" s="326">
        <f t="shared" si="72"/>
        <v>0</v>
      </c>
      <c r="G278" s="146"/>
      <c r="J278" s="85"/>
      <c r="K278" s="146"/>
    </row>
    <row r="279" spans="1:11" ht="15" thickTop="1" thickBot="1">
      <c r="B279" s="278" t="s">
        <v>134</v>
      </c>
      <c r="C279" s="250"/>
      <c r="D279" s="322">
        <f>SUM(D274:D278)</f>
        <v>0</v>
      </c>
      <c r="E279" s="322">
        <f>SUM(E274:E278)</f>
        <v>0</v>
      </c>
      <c r="F279" s="323">
        <f>SUM(F274:F278)</f>
        <v>0</v>
      </c>
      <c r="G279" s="146"/>
      <c r="J279" s="85"/>
      <c r="K279" s="146"/>
    </row>
    <row r="280" spans="1:11" ht="14.1" thickTop="1">
      <c r="B280" s="252"/>
      <c r="C280" s="250"/>
      <c r="D280" s="251"/>
      <c r="E280" s="251"/>
      <c r="F280" s="251"/>
      <c r="G280" s="146"/>
      <c r="J280" s="85"/>
      <c r="K280" s="146"/>
    </row>
    <row r="281" spans="1:11">
      <c r="C281" s="80"/>
      <c r="D281" s="281"/>
      <c r="F281" s="85"/>
      <c r="G281" s="146"/>
      <c r="H281" s="73" t="s">
        <v>83</v>
      </c>
      <c r="I281" s="73" t="s">
        <v>77</v>
      </c>
      <c r="J281" s="85"/>
      <c r="K281" s="146"/>
    </row>
    <row r="282" spans="1:11" ht="14.1" thickBot="1">
      <c r="B282" s="84" t="s">
        <v>135</v>
      </c>
      <c r="C282" s="333"/>
      <c r="D282" s="280">
        <f>D279+D267</f>
        <v>0</v>
      </c>
      <c r="E282" s="280">
        <f>E279+E267</f>
        <v>0</v>
      </c>
      <c r="F282" s="332">
        <f>F279+F267</f>
        <v>0</v>
      </c>
      <c r="G282" s="146"/>
      <c r="H282" s="238">
        <f>H267+F279</f>
        <v>0</v>
      </c>
      <c r="I282" s="268">
        <f>F282-H282</f>
        <v>0</v>
      </c>
      <c r="J282" s="85"/>
      <c r="K282" s="146"/>
    </row>
    <row r="283" spans="1:11" ht="14.1" thickTop="1">
      <c r="C283" s="80"/>
      <c r="D283" s="281"/>
      <c r="E283" s="75">
        <f>F282-D282</f>
        <v>0</v>
      </c>
      <c r="F283" s="282" t="s">
        <v>115</v>
      </c>
      <c r="G283" s="146"/>
      <c r="J283" s="85"/>
      <c r="K283" s="146"/>
    </row>
    <row r="284" spans="1:11">
      <c r="C284" s="80"/>
      <c r="D284" s="281"/>
      <c r="E284" s="218">
        <f>IFERROR(E282/F282,0)</f>
        <v>0</v>
      </c>
      <c r="F284" s="283">
        <f>IFERROR(F282/$A$10,0)</f>
        <v>0</v>
      </c>
      <c r="G284" s="146"/>
      <c r="J284" s="85"/>
      <c r="K284" s="146"/>
    </row>
    <row r="285" spans="1:11">
      <c r="C285" s="80"/>
      <c r="D285" s="166"/>
      <c r="F285" s="85"/>
      <c r="G285" s="146"/>
      <c r="J285" s="85"/>
      <c r="K285" s="146"/>
    </row>
    <row r="286" spans="1:11">
      <c r="B286" s="81" t="s">
        <v>136</v>
      </c>
      <c r="C286" s="80"/>
      <c r="D286" s="166"/>
      <c r="E286" s="161"/>
      <c r="F286" s="166"/>
      <c r="G286" s="166"/>
      <c r="J286" s="85"/>
      <c r="K286" s="146"/>
    </row>
    <row r="287" spans="1:11">
      <c r="A287" s="106" t="s">
        <v>11</v>
      </c>
      <c r="B287" s="87" t="s">
        <v>11</v>
      </c>
      <c r="C287" s="80"/>
      <c r="D287" s="241" t="s">
        <v>11</v>
      </c>
      <c r="E287" s="160" t="s">
        <v>11</v>
      </c>
      <c r="F287" s="246" t="s">
        <v>11</v>
      </c>
      <c r="G287" s="174"/>
      <c r="J287" s="85"/>
      <c r="K287" s="146"/>
    </row>
    <row r="288" spans="1:11">
      <c r="A288" s="106">
        <v>0</v>
      </c>
      <c r="B288" s="74" t="s">
        <v>84</v>
      </c>
      <c r="C288" s="80"/>
      <c r="D288" s="180">
        <v>0</v>
      </c>
      <c r="E288" s="211">
        <f t="shared" ref="E288" si="74">F288-D288</f>
        <v>0</v>
      </c>
      <c r="F288" s="211">
        <f t="shared" ref="F288:F296" si="75">ROUNDUP((D288*fee/5),0)*5</f>
        <v>0</v>
      </c>
      <c r="G288" s="174"/>
      <c r="J288" s="85"/>
      <c r="K288" s="146"/>
    </row>
    <row r="289" spans="1:11">
      <c r="A289" s="106">
        <v>0</v>
      </c>
      <c r="B289" s="74" t="s">
        <v>84</v>
      </c>
      <c r="C289" s="80"/>
      <c r="D289" s="180">
        <v>0</v>
      </c>
      <c r="E289" s="211">
        <f>F289-D289</f>
        <v>0</v>
      </c>
      <c r="F289" s="211">
        <f t="shared" si="75"/>
        <v>0</v>
      </c>
      <c r="G289" s="174"/>
      <c r="J289" s="85"/>
      <c r="K289" s="146"/>
    </row>
    <row r="290" spans="1:11">
      <c r="A290" s="106">
        <v>0</v>
      </c>
      <c r="B290" s="74" t="s">
        <v>84</v>
      </c>
      <c r="C290" s="80"/>
      <c r="D290" s="180">
        <v>0</v>
      </c>
      <c r="E290" s="211">
        <f t="shared" ref="E290:E292" si="76">F290-D290</f>
        <v>0</v>
      </c>
      <c r="F290" s="211">
        <f t="shared" si="75"/>
        <v>0</v>
      </c>
      <c r="G290" s="174"/>
      <c r="J290" s="85"/>
      <c r="K290" s="146"/>
    </row>
    <row r="291" spans="1:11">
      <c r="A291" s="106">
        <v>0</v>
      </c>
      <c r="B291" s="74" t="s">
        <v>84</v>
      </c>
      <c r="C291" s="80"/>
      <c r="D291" s="180">
        <v>0</v>
      </c>
      <c r="E291" s="211">
        <f t="shared" si="76"/>
        <v>0</v>
      </c>
      <c r="F291" s="211">
        <f t="shared" si="75"/>
        <v>0</v>
      </c>
      <c r="G291" s="174"/>
      <c r="J291" s="85"/>
      <c r="K291" s="146"/>
    </row>
    <row r="292" spans="1:11">
      <c r="A292" s="106">
        <v>0</v>
      </c>
      <c r="B292" s="74" t="s">
        <v>84</v>
      </c>
      <c r="C292" s="80"/>
      <c r="D292" s="180">
        <v>0</v>
      </c>
      <c r="E292" s="211">
        <f t="shared" si="76"/>
        <v>0</v>
      </c>
      <c r="F292" s="211">
        <f t="shared" si="75"/>
        <v>0</v>
      </c>
      <c r="G292" s="174"/>
      <c r="J292" s="85"/>
      <c r="K292" s="146"/>
    </row>
    <row r="293" spans="1:11">
      <c r="A293" s="106">
        <v>0</v>
      </c>
      <c r="B293" s="74" t="s">
        <v>84</v>
      </c>
      <c r="C293" s="80"/>
      <c r="D293" s="180">
        <v>0</v>
      </c>
      <c r="E293" s="211">
        <f>F293-D293</f>
        <v>0</v>
      </c>
      <c r="F293" s="211">
        <f t="shared" si="75"/>
        <v>0</v>
      </c>
      <c r="G293" s="174"/>
      <c r="H293" s="85"/>
      <c r="K293" s="146"/>
    </row>
    <row r="294" spans="1:11" ht="15.95">
      <c r="A294" s="106">
        <v>0</v>
      </c>
      <c r="B294" s="74" t="s">
        <v>84</v>
      </c>
      <c r="C294" s="80"/>
      <c r="D294" s="180">
        <v>0</v>
      </c>
      <c r="E294" s="211">
        <f t="shared" ref="E294:E296" si="77">F294-D294</f>
        <v>0</v>
      </c>
      <c r="F294" s="211">
        <f t="shared" si="75"/>
        <v>0</v>
      </c>
      <c r="G294" s="174"/>
      <c r="H294" s="85" t="s">
        <v>11</v>
      </c>
      <c r="I294" s="247" t="s">
        <v>11</v>
      </c>
      <c r="K294" s="146"/>
    </row>
    <row r="295" spans="1:11">
      <c r="A295" s="106">
        <v>0</v>
      </c>
      <c r="B295" s="74" t="s">
        <v>84</v>
      </c>
      <c r="C295" s="80"/>
      <c r="D295" s="180">
        <v>0</v>
      </c>
      <c r="E295" s="211">
        <f t="shared" si="77"/>
        <v>0</v>
      </c>
      <c r="F295" s="211">
        <f t="shared" si="75"/>
        <v>0</v>
      </c>
      <c r="G295" s="174"/>
      <c r="H295" s="85"/>
      <c r="K295" s="146"/>
    </row>
    <row r="296" spans="1:11">
      <c r="A296" s="106">
        <v>0</v>
      </c>
      <c r="B296" s="74" t="s">
        <v>84</v>
      </c>
      <c r="C296" s="80"/>
      <c r="D296" s="180">
        <v>0</v>
      </c>
      <c r="E296" s="211">
        <f t="shared" si="77"/>
        <v>0</v>
      </c>
      <c r="F296" s="211">
        <f t="shared" si="75"/>
        <v>0</v>
      </c>
      <c r="G296" s="174"/>
      <c r="H296" s="85" t="s">
        <v>11</v>
      </c>
      <c r="K296" s="146"/>
    </row>
    <row r="297" spans="1:11">
      <c r="B297" s="89"/>
      <c r="C297" s="80"/>
      <c r="D297" s="190"/>
      <c r="E297" s="184"/>
      <c r="F297" s="248"/>
      <c r="G297" s="166"/>
      <c r="H297" s="73" t="s">
        <v>83</v>
      </c>
      <c r="I297" s="73" t="s">
        <v>77</v>
      </c>
      <c r="J297" s="85"/>
      <c r="K297" s="146"/>
    </row>
    <row r="298" spans="1:11">
      <c r="B298" s="97" t="s">
        <v>137</v>
      </c>
      <c r="C298" s="80"/>
      <c r="D298" s="256">
        <f>SUM(D288:D297)</f>
        <v>0</v>
      </c>
      <c r="E298" s="256">
        <f>SUM(E288:E297)</f>
        <v>0</v>
      </c>
      <c r="F298" s="191">
        <f>SUM(F288:F297)</f>
        <v>0</v>
      </c>
      <c r="G298" s="166"/>
      <c r="H298" s="229">
        <v>0</v>
      </c>
      <c r="I298" s="267">
        <f>F298-H298</f>
        <v>0</v>
      </c>
      <c r="J298" s="85"/>
      <c r="K298" s="146"/>
    </row>
    <row r="299" spans="1:11">
      <c r="C299" s="80"/>
      <c r="D299" s="166"/>
      <c r="E299" s="161"/>
      <c r="F299" s="166"/>
      <c r="G299" s="166"/>
      <c r="J299" s="85"/>
      <c r="K299" s="146"/>
    </row>
    <row r="300" spans="1:11">
      <c r="C300" s="80"/>
      <c r="D300" s="166"/>
      <c r="E300" s="161"/>
      <c r="F300" s="166"/>
      <c r="G300" s="166"/>
      <c r="J300" s="85"/>
      <c r="K300" s="146"/>
    </row>
    <row r="301" spans="1:11">
      <c r="C301" s="80"/>
      <c r="D301" s="166"/>
      <c r="E301" s="161"/>
      <c r="F301" s="166"/>
      <c r="G301" s="166"/>
      <c r="H301" s="73" t="s">
        <v>83</v>
      </c>
      <c r="I301" s="73" t="s">
        <v>77</v>
      </c>
    </row>
    <row r="302" spans="1:11" ht="14.1" thickBot="1">
      <c r="B302" s="299" t="s">
        <v>138</v>
      </c>
      <c r="C302" s="80"/>
      <c r="D302" s="216">
        <f>D282+D298</f>
        <v>0</v>
      </c>
      <c r="E302" s="216">
        <f>E298+E267</f>
        <v>0</v>
      </c>
      <c r="F302" s="192">
        <f>F298+F267</f>
        <v>0</v>
      </c>
      <c r="G302" s="166"/>
      <c r="H302" s="229">
        <v>0</v>
      </c>
      <c r="I302" s="267">
        <f>F302-H302</f>
        <v>0</v>
      </c>
      <c r="K302" s="146"/>
    </row>
    <row r="303" spans="1:11" ht="14.1" thickTop="1">
      <c r="C303" s="80"/>
      <c r="D303" s="166"/>
      <c r="E303" s="203">
        <f>F302-D302</f>
        <v>0</v>
      </c>
      <c r="F303" s="185" t="s">
        <v>115</v>
      </c>
      <c r="G303" s="166"/>
      <c r="J303" s="85"/>
      <c r="K303" s="146"/>
    </row>
    <row r="304" spans="1:11">
      <c r="C304" s="80"/>
      <c r="D304" s="166"/>
      <c r="E304" s="218">
        <f>IFERROR(E302/F302,0)</f>
        <v>0</v>
      </c>
      <c r="F304" s="209">
        <f>IFERROR(F302/$A$10,0)</f>
        <v>0</v>
      </c>
      <c r="G304" s="166"/>
      <c r="J304" s="85"/>
      <c r="K304" s="146"/>
    </row>
    <row r="305" spans="1:11">
      <c r="C305" s="80"/>
      <c r="D305" s="166"/>
      <c r="E305" s="161"/>
      <c r="F305" s="166"/>
      <c r="G305" s="166"/>
      <c r="J305" s="85"/>
      <c r="K305" s="146"/>
    </row>
    <row r="306" spans="1:11">
      <c r="B306" s="81" t="s">
        <v>139</v>
      </c>
      <c r="C306" s="80"/>
      <c r="D306" s="161"/>
      <c r="E306" s="161"/>
      <c r="F306" s="334"/>
      <c r="G306" s="166"/>
      <c r="J306" s="85"/>
      <c r="K306" s="146"/>
    </row>
    <row r="307" spans="1:11">
      <c r="B307" s="87" t="s">
        <v>11</v>
      </c>
      <c r="C307" s="80"/>
      <c r="D307" s="289">
        <v>0</v>
      </c>
      <c r="E307" s="202">
        <f>F307-D307</f>
        <v>0</v>
      </c>
      <c r="F307" s="211">
        <f>ROUNDUP((D307*1.1/5),0)*5</f>
        <v>0</v>
      </c>
      <c r="G307" s="166"/>
      <c r="J307" s="85"/>
      <c r="K307" s="146"/>
    </row>
    <row r="308" spans="1:11">
      <c r="B308" s="74"/>
      <c r="C308" s="80"/>
      <c r="D308" s="290">
        <v>0</v>
      </c>
      <c r="E308" s="203">
        <f>F308-D308</f>
        <v>0</v>
      </c>
      <c r="F308" s="211">
        <f t="shared" ref="F308:F309" si="78">ROUNDUP((D308*1.1/5),0)*5</f>
        <v>0</v>
      </c>
      <c r="G308" s="166"/>
      <c r="J308" s="85"/>
      <c r="K308" s="146"/>
    </row>
    <row r="309" spans="1:11">
      <c r="B309" s="89"/>
      <c r="C309" s="80"/>
      <c r="D309" s="291">
        <v>0</v>
      </c>
      <c r="E309" s="206">
        <f>F309-D309</f>
        <v>0</v>
      </c>
      <c r="F309" s="211">
        <f t="shared" si="78"/>
        <v>0</v>
      </c>
      <c r="G309" s="166"/>
      <c r="J309" s="85"/>
      <c r="K309" s="146"/>
    </row>
    <row r="310" spans="1:11">
      <c r="B310" s="89"/>
      <c r="C310" s="80"/>
      <c r="D310" s="190"/>
      <c r="E310" s="184"/>
      <c r="F310" s="248"/>
      <c r="G310" s="166"/>
      <c r="H310" s="73" t="s">
        <v>83</v>
      </c>
      <c r="I310" s="73" t="s">
        <v>77</v>
      </c>
      <c r="J310" s="85"/>
      <c r="K310" s="146"/>
    </row>
    <row r="311" spans="1:11">
      <c r="B311" s="97" t="s">
        <v>140</v>
      </c>
      <c r="C311" s="80"/>
      <c r="D311" s="256">
        <f>SUM(D307:D310)</f>
        <v>0</v>
      </c>
      <c r="E311" s="256">
        <f>SUM(E307:E310)</f>
        <v>0</v>
      </c>
      <c r="F311" s="191">
        <f>SUM(F307:F310)</f>
        <v>0</v>
      </c>
      <c r="G311" s="166"/>
      <c r="H311" s="229">
        <v>0</v>
      </c>
      <c r="I311" s="267">
        <f>F311-H311</f>
        <v>0</v>
      </c>
      <c r="J311" s="85"/>
      <c r="K311" s="146"/>
    </row>
    <row r="312" spans="1:11">
      <c r="C312" s="80"/>
      <c r="D312" s="161"/>
      <c r="E312" s="161"/>
      <c r="F312" s="166"/>
      <c r="G312" s="166"/>
      <c r="J312" s="85"/>
      <c r="K312" s="146"/>
    </row>
    <row r="313" spans="1:11">
      <c r="C313" s="80"/>
      <c r="D313" s="161"/>
      <c r="E313" s="161"/>
      <c r="F313" s="166"/>
      <c r="G313" s="166"/>
      <c r="H313" s="107" t="s">
        <v>11</v>
      </c>
      <c r="J313" s="85"/>
      <c r="K313" s="146"/>
    </row>
    <row r="314" spans="1:11" ht="14.1" thickBot="1">
      <c r="B314" s="299" t="s">
        <v>141</v>
      </c>
      <c r="C314" s="80"/>
      <c r="D314" s="216">
        <f>D302+D311</f>
        <v>0</v>
      </c>
      <c r="E314" s="255">
        <f>E302+E311</f>
        <v>0</v>
      </c>
      <c r="F314" s="245">
        <f>F302+F311</f>
        <v>0</v>
      </c>
      <c r="G314" s="166"/>
      <c r="J314" s="85"/>
      <c r="K314" s="146"/>
    </row>
    <row r="315" spans="1:11" ht="14.1" thickTop="1">
      <c r="C315" s="80"/>
      <c r="D315" s="166"/>
      <c r="E315" s="203">
        <f>F314-D314</f>
        <v>0</v>
      </c>
      <c r="F315" s="185" t="s">
        <v>115</v>
      </c>
      <c r="G315" s="166"/>
      <c r="J315" s="85"/>
      <c r="K315" s="146"/>
    </row>
    <row r="316" spans="1:11">
      <c r="C316" s="80"/>
      <c r="D316" s="166"/>
      <c r="E316" s="218">
        <f>IFERROR(E314/F314,0)</f>
        <v>0</v>
      </c>
      <c r="F316" s="209">
        <f>IFERROR(F314/$A$10,0)</f>
        <v>0</v>
      </c>
      <c r="G316" s="166"/>
      <c r="J316" s="85"/>
      <c r="K316" s="146"/>
    </row>
    <row r="317" spans="1:11">
      <c r="C317" s="80"/>
      <c r="D317" s="166"/>
      <c r="E317" s="161"/>
      <c r="F317" s="166"/>
      <c r="G317" s="166"/>
      <c r="J317" s="85"/>
      <c r="K317" s="146"/>
    </row>
    <row r="318" spans="1:11" s="252" customFormat="1">
      <c r="A318" s="106" t="s">
        <v>11</v>
      </c>
      <c r="B318" s="392" t="s">
        <v>142</v>
      </c>
      <c r="C318" s="393"/>
      <c r="D318" s="393"/>
      <c r="E318" s="393"/>
      <c r="F318" s="394"/>
      <c r="G318" s="161"/>
      <c r="H318" s="169" t="s">
        <v>11</v>
      </c>
      <c r="I318" s="80" t="s">
        <v>11</v>
      </c>
      <c r="J318" s="250"/>
    </row>
    <row r="319" spans="1:11">
      <c r="C319" s="80"/>
      <c r="D319" s="161"/>
      <c r="E319" s="161"/>
      <c r="F319" s="166"/>
      <c r="G319" s="161"/>
      <c r="I319" s="80"/>
      <c r="J319" s="85"/>
      <c r="K319" s="146"/>
    </row>
    <row r="320" spans="1:11">
      <c r="B320" s="90" t="s">
        <v>143</v>
      </c>
      <c r="C320" s="80"/>
      <c r="D320" s="266" t="s">
        <v>143</v>
      </c>
      <c r="E320" s="111" t="s">
        <v>144</v>
      </c>
      <c r="F320" s="111" t="s">
        <v>77</v>
      </c>
      <c r="G320" s="166"/>
      <c r="H320" s="169" t="s">
        <v>11</v>
      </c>
      <c r="I320" s="80" t="s">
        <v>11</v>
      </c>
      <c r="J320" s="85" t="s">
        <v>11</v>
      </c>
    </row>
    <row r="321" spans="1:12">
      <c r="B321" s="87" t="s">
        <v>145</v>
      </c>
      <c r="D321" s="108">
        <v>0</v>
      </c>
      <c r="E321" s="265">
        <f>'Budget show 1'!E52</f>
        <v>0</v>
      </c>
      <c r="F321" s="112">
        <f>D389-E321</f>
        <v>0</v>
      </c>
      <c r="G321" s="166"/>
      <c r="I321" s="80"/>
      <c r="J321" s="85"/>
    </row>
    <row r="322" spans="1:12">
      <c r="B322" s="74" t="s">
        <v>90</v>
      </c>
      <c r="D322" s="109">
        <v>0</v>
      </c>
      <c r="F322" s="120">
        <f>IFERROR(F321/E321,0)</f>
        <v>0</v>
      </c>
      <c r="G322" s="166"/>
      <c r="I322" s="80"/>
      <c r="J322" s="85"/>
    </row>
    <row r="323" spans="1:12" s="107" customFormat="1">
      <c r="A323" s="106"/>
      <c r="B323" s="74" t="s">
        <v>146</v>
      </c>
      <c r="D323" s="173">
        <v>0</v>
      </c>
      <c r="E323" s="253"/>
      <c r="F323" s="253"/>
      <c r="G323" s="161"/>
      <c r="J323" s="85"/>
      <c r="L323" s="146"/>
    </row>
    <row r="324" spans="1:12" s="107" customFormat="1">
      <c r="A324" s="106"/>
      <c r="B324" s="74"/>
      <c r="D324" s="336">
        <v>0</v>
      </c>
      <c r="E324" s="253"/>
      <c r="F324" s="253"/>
      <c r="G324" s="161"/>
      <c r="J324" s="85"/>
      <c r="L324" s="146"/>
    </row>
    <row r="325" spans="1:12" s="107" customFormat="1">
      <c r="A325" s="106"/>
      <c r="B325" s="91" t="s">
        <v>147</v>
      </c>
      <c r="D325" s="75">
        <f>SUM(D321:D324)</f>
        <v>0</v>
      </c>
      <c r="E325" s="253"/>
      <c r="F325" s="253"/>
      <c r="G325" s="161"/>
      <c r="J325" s="85"/>
      <c r="L325" s="146"/>
    </row>
    <row r="326" spans="1:12" s="107" customFormat="1">
      <c r="A326" s="106"/>
      <c r="B326" s="92" t="s">
        <v>148</v>
      </c>
      <c r="D326" s="258">
        <f>D160+D199</f>
        <v>0</v>
      </c>
      <c r="E326" s="253"/>
      <c r="F326" s="253"/>
      <c r="G326" s="161"/>
      <c r="L326" s="146"/>
    </row>
    <row r="327" spans="1:12" s="107" customFormat="1">
      <c r="A327" s="106"/>
      <c r="B327" s="92" t="s">
        <v>77</v>
      </c>
      <c r="D327" s="254">
        <f>D325-D326</f>
        <v>0</v>
      </c>
      <c r="E327" s="253"/>
      <c r="F327" s="253"/>
      <c r="G327" s="161"/>
      <c r="L327" s="146"/>
    </row>
    <row r="328" spans="1:12" s="107" customFormat="1">
      <c r="A328" s="106"/>
      <c r="B328" s="74"/>
      <c r="C328" s="67"/>
      <c r="D328" s="77"/>
      <c r="E328" s="253"/>
      <c r="F328" s="253"/>
      <c r="G328" s="161"/>
      <c r="L328" s="146"/>
    </row>
    <row r="329" spans="1:12" s="107" customFormat="1">
      <c r="A329" s="106"/>
      <c r="B329" s="88" t="s">
        <v>38</v>
      </c>
      <c r="C329" s="67"/>
      <c r="D329" s="77"/>
      <c r="E329" s="253"/>
      <c r="F329" s="253"/>
      <c r="G329" s="161"/>
      <c r="L329" s="146"/>
    </row>
    <row r="330" spans="1:12" s="107" customFormat="1">
      <c r="A330" s="106"/>
      <c r="B330" s="143" t="s">
        <v>52</v>
      </c>
      <c r="C330" s="67"/>
      <c r="D330" s="75">
        <f>D210</f>
        <v>0</v>
      </c>
      <c r="E330" s="253"/>
      <c r="F330" s="253"/>
      <c r="G330" s="161"/>
      <c r="L330" s="146"/>
    </row>
    <row r="331" spans="1:12" s="107" customFormat="1">
      <c r="A331" s="106"/>
      <c r="B331" s="143" t="s">
        <v>149</v>
      </c>
      <c r="C331" s="67"/>
      <c r="D331" s="109">
        <f>'Budget show 1'!E34</f>
        <v>0</v>
      </c>
      <c r="E331" s="253"/>
      <c r="F331" s="253"/>
      <c r="G331" s="161"/>
      <c r="L331" s="146"/>
    </row>
    <row r="332" spans="1:12" s="107" customFormat="1">
      <c r="A332" s="106"/>
      <c r="B332" s="143" t="s">
        <v>43</v>
      </c>
      <c r="C332" s="67"/>
      <c r="D332" s="109">
        <f>'Budget show 1'!E35</f>
        <v>0</v>
      </c>
      <c r="E332" s="253"/>
      <c r="F332" s="253"/>
      <c r="G332" s="161"/>
      <c r="L332" s="146"/>
    </row>
    <row r="333" spans="1:12" s="107" customFormat="1">
      <c r="A333" s="106"/>
      <c r="B333" s="74" t="s">
        <v>120</v>
      </c>
      <c r="C333" s="67"/>
      <c r="D333" s="110">
        <f>'Budget show 1'!E36</f>
        <v>0</v>
      </c>
      <c r="E333" s="253"/>
      <c r="F333" s="253"/>
      <c r="G333" s="161"/>
      <c r="L333" s="146"/>
    </row>
    <row r="334" spans="1:12" s="107" customFormat="1">
      <c r="A334" s="106"/>
      <c r="B334" s="74" t="s">
        <v>121</v>
      </c>
      <c r="C334" s="67"/>
      <c r="D334" s="110">
        <f>'Budget show 1'!E37</f>
        <v>0</v>
      </c>
      <c r="E334" s="253"/>
      <c r="F334" s="253"/>
      <c r="G334" s="161"/>
      <c r="L334" s="146"/>
    </row>
    <row r="335" spans="1:12" s="107" customFormat="1">
      <c r="A335" s="106"/>
      <c r="B335" s="74" t="s">
        <v>122</v>
      </c>
      <c r="C335" s="67"/>
      <c r="D335" s="110">
        <f>'Budget show 1'!E38</f>
        <v>0</v>
      </c>
      <c r="E335" s="253"/>
      <c r="F335" s="253"/>
      <c r="G335" s="161"/>
      <c r="L335" s="146"/>
    </row>
    <row r="336" spans="1:12" s="107" customFormat="1">
      <c r="A336" s="106"/>
      <c r="B336" s="74" t="s">
        <v>123</v>
      </c>
      <c r="C336" s="67"/>
      <c r="D336" s="110">
        <f>'Budget show 1'!E39</f>
        <v>0</v>
      </c>
      <c r="E336" s="253"/>
      <c r="F336" s="253"/>
      <c r="G336" s="161"/>
      <c r="L336" s="146"/>
    </row>
    <row r="337" spans="1:12" s="107" customFormat="1">
      <c r="A337" s="106"/>
      <c r="B337" s="143" t="s">
        <v>48</v>
      </c>
      <c r="C337" s="67"/>
      <c r="D337" s="109">
        <f>'Budget show 1'!E40</f>
        <v>0</v>
      </c>
      <c r="E337" s="253"/>
      <c r="F337" s="253"/>
      <c r="G337" s="161"/>
      <c r="L337" s="146"/>
    </row>
    <row r="338" spans="1:12" s="107" customFormat="1">
      <c r="A338" s="106"/>
      <c r="B338" s="143" t="s">
        <v>49</v>
      </c>
      <c r="C338" s="67"/>
      <c r="D338" s="109">
        <f>'Budget show 1'!E41</f>
        <v>0</v>
      </c>
      <c r="E338" s="253"/>
      <c r="F338" s="253"/>
      <c r="G338" s="161"/>
      <c r="L338" s="146"/>
    </row>
    <row r="339" spans="1:12" s="107" customFormat="1">
      <c r="A339" s="106"/>
      <c r="B339" s="143" t="s">
        <v>50</v>
      </c>
      <c r="C339" s="67"/>
      <c r="D339" s="109">
        <f>'Budget show 1'!E42</f>
        <v>0</v>
      </c>
      <c r="E339" s="253"/>
      <c r="F339" s="253"/>
      <c r="G339" s="161"/>
      <c r="L339" s="146"/>
    </row>
    <row r="340" spans="1:12" s="107" customFormat="1">
      <c r="A340" s="106"/>
      <c r="B340" s="143" t="s">
        <v>50</v>
      </c>
      <c r="C340" s="67"/>
      <c r="D340" s="110">
        <f>'Budget show 1'!E43</f>
        <v>0</v>
      </c>
      <c r="E340" s="253"/>
      <c r="F340" s="253"/>
      <c r="G340" s="161"/>
      <c r="L340" s="146"/>
    </row>
    <row r="341" spans="1:12" s="107" customFormat="1">
      <c r="A341" s="106"/>
      <c r="B341" s="143" t="s">
        <v>150</v>
      </c>
      <c r="C341" s="67"/>
      <c r="D341" s="337">
        <f>'Budget show 1'!E44</f>
        <v>0</v>
      </c>
      <c r="E341" s="253"/>
      <c r="F341" s="253"/>
      <c r="G341" s="161"/>
      <c r="L341" s="146"/>
    </row>
    <row r="342" spans="1:12" s="107" customFormat="1">
      <c r="A342" s="106"/>
      <c r="B342" s="91" t="s">
        <v>147</v>
      </c>
      <c r="D342" s="75">
        <f>SUM(D330:D341)</f>
        <v>0</v>
      </c>
      <c r="E342" s="253"/>
      <c r="F342" s="253"/>
      <c r="G342" s="161"/>
      <c r="J342" s="85"/>
      <c r="L342" s="146"/>
    </row>
    <row r="343" spans="1:12" s="107" customFormat="1">
      <c r="A343" s="106"/>
      <c r="B343" s="92" t="s">
        <v>148</v>
      </c>
      <c r="D343" s="258">
        <f>D216+D244</f>
        <v>0</v>
      </c>
      <c r="E343" s="253"/>
      <c r="F343" s="253"/>
      <c r="G343" s="161"/>
      <c r="L343" s="146"/>
    </row>
    <row r="344" spans="1:12" s="107" customFormat="1">
      <c r="A344" s="106"/>
      <c r="B344" s="92" t="s">
        <v>77</v>
      </c>
      <c r="D344" s="254">
        <f>D342-D343</f>
        <v>0</v>
      </c>
      <c r="E344" s="253"/>
      <c r="F344" s="253"/>
      <c r="G344" s="161"/>
      <c r="L344" s="146"/>
    </row>
    <row r="345" spans="1:12" s="107" customFormat="1">
      <c r="A345" s="106"/>
      <c r="B345" s="74"/>
      <c r="C345" s="67"/>
      <c r="D345" s="77"/>
      <c r="E345" s="253"/>
      <c r="F345" s="253"/>
      <c r="G345" s="161"/>
      <c r="L345" s="146"/>
    </row>
    <row r="346" spans="1:12" s="107" customFormat="1">
      <c r="A346" s="106"/>
      <c r="B346" s="88" t="s">
        <v>151</v>
      </c>
      <c r="C346" s="67"/>
      <c r="D346" s="77"/>
      <c r="E346" s="253"/>
      <c r="F346" s="253"/>
      <c r="G346" s="161"/>
      <c r="L346" s="146"/>
    </row>
    <row r="347" spans="1:12" s="107" customFormat="1">
      <c r="A347" s="106"/>
      <c r="B347" s="88"/>
      <c r="C347" s="67"/>
      <c r="D347" s="109">
        <v>0</v>
      </c>
      <c r="E347" s="253"/>
      <c r="F347" s="253"/>
      <c r="G347" s="161"/>
      <c r="L347" s="146"/>
    </row>
    <row r="348" spans="1:12" s="107" customFormat="1">
      <c r="A348" s="106"/>
      <c r="B348" s="74"/>
      <c r="C348" s="67"/>
      <c r="D348" s="338">
        <v>0</v>
      </c>
      <c r="E348" s="253"/>
      <c r="F348" s="253"/>
      <c r="G348" s="161"/>
      <c r="L348" s="146"/>
    </row>
    <row r="349" spans="1:12" s="107" customFormat="1">
      <c r="A349" s="106"/>
      <c r="B349" s="91" t="s">
        <v>147</v>
      </c>
      <c r="D349" s="75">
        <f>SUM(D347:D348)</f>
        <v>0</v>
      </c>
      <c r="E349" s="253"/>
      <c r="F349" s="253"/>
      <c r="G349" s="161"/>
      <c r="J349" s="85"/>
      <c r="L349" s="146"/>
    </row>
    <row r="350" spans="1:12" s="107" customFormat="1">
      <c r="A350" s="106"/>
      <c r="B350" s="92" t="s">
        <v>148</v>
      </c>
      <c r="D350" s="258">
        <f>D253</f>
        <v>0</v>
      </c>
      <c r="E350" s="253"/>
      <c r="F350" s="253"/>
      <c r="G350" s="161"/>
      <c r="L350" s="146"/>
    </row>
    <row r="351" spans="1:12" s="107" customFormat="1">
      <c r="A351" s="106"/>
      <c r="B351" s="92" t="s">
        <v>77</v>
      </c>
      <c r="D351" s="254">
        <f>D349-D350</f>
        <v>0</v>
      </c>
      <c r="E351" s="253"/>
      <c r="F351" s="253"/>
      <c r="G351" s="161"/>
      <c r="L351" s="146"/>
    </row>
    <row r="352" spans="1:12" s="107" customFormat="1">
      <c r="A352" s="106"/>
      <c r="B352" s="288"/>
      <c r="C352" s="67"/>
      <c r="D352" s="305"/>
      <c r="E352" s="253"/>
      <c r="F352" s="253"/>
      <c r="G352" s="161"/>
      <c r="L352" s="146"/>
    </row>
    <row r="353" spans="1:12" s="107" customFormat="1">
      <c r="A353" s="106"/>
      <c r="B353" s="88" t="s">
        <v>152</v>
      </c>
      <c r="C353" s="67"/>
      <c r="D353" s="77"/>
      <c r="E353" s="253"/>
      <c r="F353" s="253"/>
      <c r="G353" s="161"/>
      <c r="L353" s="146"/>
    </row>
    <row r="354" spans="1:12" s="107" customFormat="1">
      <c r="A354" s="106"/>
      <c r="B354" s="88"/>
      <c r="C354" s="67"/>
      <c r="D354" s="109">
        <v>0</v>
      </c>
      <c r="E354" s="253"/>
      <c r="F354" s="253"/>
      <c r="G354" s="161"/>
      <c r="L354" s="146"/>
    </row>
    <row r="355" spans="1:12" s="107" customFormat="1">
      <c r="A355" s="106"/>
      <c r="B355" s="74"/>
      <c r="C355" s="67"/>
      <c r="D355" s="338">
        <f>'Budget show 1'!E55</f>
        <v>0</v>
      </c>
      <c r="E355" s="253"/>
      <c r="F355" s="253"/>
      <c r="G355" s="161"/>
      <c r="L355" s="146"/>
    </row>
    <row r="356" spans="1:12" s="107" customFormat="1">
      <c r="A356" s="106"/>
      <c r="B356" s="91" t="s">
        <v>147</v>
      </c>
      <c r="D356" s="75">
        <f>SUM(D354:D355)</f>
        <v>0</v>
      </c>
      <c r="E356" s="253"/>
      <c r="F356" s="253"/>
      <c r="G356" s="161"/>
      <c r="J356" s="85"/>
      <c r="L356" s="146"/>
    </row>
    <row r="357" spans="1:12" s="107" customFormat="1">
      <c r="A357" s="106"/>
      <c r="B357" s="92" t="s">
        <v>148</v>
      </c>
      <c r="D357" s="258">
        <f>D264</f>
        <v>0</v>
      </c>
      <c r="E357" s="253"/>
      <c r="F357" s="253"/>
      <c r="G357" s="161"/>
      <c r="L357" s="146"/>
    </row>
    <row r="358" spans="1:12" s="107" customFormat="1">
      <c r="A358" s="106"/>
      <c r="B358" s="92" t="s">
        <v>77</v>
      </c>
      <c r="D358" s="254">
        <f>D356-D357</f>
        <v>0</v>
      </c>
      <c r="E358" s="253"/>
      <c r="F358" s="253"/>
      <c r="G358" s="161"/>
      <c r="L358" s="146"/>
    </row>
    <row r="359" spans="1:12" s="107" customFormat="1">
      <c r="A359" s="106"/>
      <c r="B359" s="74"/>
      <c r="C359" s="67"/>
      <c r="D359" s="77"/>
      <c r="E359" s="253"/>
      <c r="F359" s="253"/>
      <c r="G359" s="161"/>
      <c r="L359" s="146"/>
    </row>
    <row r="360" spans="1:12" s="107" customFormat="1">
      <c r="A360" s="106"/>
      <c r="B360" s="88" t="s">
        <v>153</v>
      </c>
      <c r="C360" s="67"/>
      <c r="D360" s="77"/>
      <c r="E360" s="253"/>
      <c r="F360" s="253"/>
      <c r="G360" s="161"/>
      <c r="L360" s="146"/>
    </row>
    <row r="361" spans="1:12" s="107" customFormat="1">
      <c r="A361" s="106"/>
      <c r="B361" s="88"/>
      <c r="C361" s="67"/>
      <c r="D361" s="109">
        <v>0</v>
      </c>
      <c r="E361" s="253"/>
      <c r="F361" s="253"/>
      <c r="G361" s="161"/>
      <c r="L361" s="146"/>
    </row>
    <row r="362" spans="1:12" s="107" customFormat="1">
      <c r="A362" s="106"/>
      <c r="B362" s="74"/>
      <c r="C362" s="67"/>
      <c r="D362" s="338">
        <f>'Budget show 1'!E60</f>
        <v>0</v>
      </c>
      <c r="E362" s="253"/>
      <c r="F362" s="253"/>
      <c r="G362" s="161"/>
      <c r="L362" s="146"/>
    </row>
    <row r="363" spans="1:12" s="107" customFormat="1">
      <c r="A363" s="106"/>
      <c r="B363" s="91" t="s">
        <v>147</v>
      </c>
      <c r="D363" s="75">
        <f>SUM(D361:D362)</f>
        <v>0</v>
      </c>
      <c r="E363" s="253"/>
      <c r="F363" s="253"/>
      <c r="G363" s="161"/>
      <c r="J363" s="85"/>
      <c r="L363" s="146"/>
    </row>
    <row r="364" spans="1:12" s="107" customFormat="1">
      <c r="A364" s="106"/>
      <c r="B364" s="92" t="s">
        <v>148</v>
      </c>
      <c r="D364" s="258">
        <f>D279</f>
        <v>0</v>
      </c>
      <c r="E364" s="253"/>
      <c r="F364" s="253"/>
      <c r="G364" s="161"/>
      <c r="L364" s="146"/>
    </row>
    <row r="365" spans="1:12" s="107" customFormat="1">
      <c r="A365" s="106"/>
      <c r="B365" s="92" t="s">
        <v>77</v>
      </c>
      <c r="D365" s="254">
        <f>D363-D364</f>
        <v>0</v>
      </c>
      <c r="E365" s="253"/>
      <c r="F365" s="253"/>
      <c r="G365" s="161"/>
      <c r="L365" s="146"/>
    </row>
    <row r="366" spans="1:12" s="107" customFormat="1">
      <c r="A366" s="106"/>
      <c r="B366" s="288"/>
      <c r="C366" s="67"/>
      <c r="D366" s="77"/>
      <c r="E366" s="253"/>
      <c r="F366" s="253"/>
      <c r="G366" s="161"/>
      <c r="L366" s="146"/>
    </row>
    <row r="367" spans="1:12" s="107" customFormat="1">
      <c r="A367" s="106"/>
      <c r="B367" s="88" t="s">
        <v>154</v>
      </c>
      <c r="C367" s="67"/>
      <c r="D367" s="77"/>
      <c r="E367" s="253"/>
      <c r="F367" s="253"/>
      <c r="G367" s="161"/>
      <c r="L367" s="146"/>
    </row>
    <row r="368" spans="1:12" s="107" customFormat="1">
      <c r="A368" s="106"/>
      <c r="B368" s="74"/>
      <c r="C368" s="67"/>
      <c r="D368" s="109">
        <v>0</v>
      </c>
      <c r="E368" s="253"/>
      <c r="F368" s="253"/>
      <c r="G368" s="161"/>
      <c r="L368" s="146"/>
    </row>
    <row r="369" spans="1:12" s="107" customFormat="1">
      <c r="A369" s="106"/>
      <c r="B369" s="74"/>
      <c r="C369" s="67"/>
      <c r="D369" s="109">
        <v>0</v>
      </c>
      <c r="E369" s="253"/>
      <c r="F369" s="253"/>
      <c r="G369" s="161"/>
      <c r="L369" s="146"/>
    </row>
    <row r="370" spans="1:12" s="107" customFormat="1">
      <c r="A370" s="106"/>
      <c r="B370" s="74"/>
      <c r="C370" s="67"/>
      <c r="D370" s="109">
        <v>0</v>
      </c>
      <c r="E370" s="253"/>
      <c r="F370" s="253"/>
      <c r="G370" s="161"/>
      <c r="L370" s="146"/>
    </row>
    <row r="371" spans="1:12" s="107" customFormat="1">
      <c r="A371" s="106"/>
      <c r="B371" s="74"/>
      <c r="C371" s="67"/>
      <c r="D371" s="109">
        <v>0</v>
      </c>
      <c r="E371" s="253"/>
      <c r="F371" s="253"/>
      <c r="G371" s="161"/>
      <c r="L371" s="146"/>
    </row>
    <row r="372" spans="1:12" s="107" customFormat="1">
      <c r="A372" s="106"/>
      <c r="B372" s="74"/>
      <c r="C372" s="67"/>
      <c r="D372" s="109">
        <v>0</v>
      </c>
      <c r="E372" s="253"/>
      <c r="F372" s="253"/>
      <c r="G372" s="161"/>
      <c r="L372" s="146"/>
    </row>
    <row r="373" spans="1:12" s="107" customFormat="1">
      <c r="A373" s="106"/>
      <c r="B373" s="74"/>
      <c r="C373" s="67"/>
      <c r="D373" s="338">
        <v>0</v>
      </c>
      <c r="E373" s="253"/>
      <c r="F373" s="253"/>
      <c r="G373" s="161"/>
      <c r="L373" s="146"/>
    </row>
    <row r="374" spans="1:12" s="107" customFormat="1">
      <c r="A374" s="106"/>
      <c r="B374" s="91" t="s">
        <v>147</v>
      </c>
      <c r="D374" s="75">
        <f>SUM(D368:D373)</f>
        <v>0</v>
      </c>
      <c r="E374" s="253"/>
      <c r="F374" s="253"/>
      <c r="G374" s="161"/>
      <c r="J374" s="85"/>
      <c r="L374" s="146"/>
    </row>
    <row r="375" spans="1:12" s="107" customFormat="1">
      <c r="A375" s="106"/>
      <c r="B375" s="92" t="s">
        <v>148</v>
      </c>
      <c r="D375" s="258">
        <f>D298</f>
        <v>0</v>
      </c>
      <c r="E375" s="253"/>
      <c r="F375" s="253"/>
      <c r="G375" s="161"/>
      <c r="L375" s="146"/>
    </row>
    <row r="376" spans="1:12" s="107" customFormat="1">
      <c r="A376" s="106"/>
      <c r="B376" s="92" t="s">
        <v>77</v>
      </c>
      <c r="D376" s="254">
        <f>D374-D375</f>
        <v>0</v>
      </c>
      <c r="E376" s="253"/>
      <c r="F376" s="253"/>
      <c r="G376" s="161"/>
      <c r="L376" s="146"/>
    </row>
    <row r="377" spans="1:12" s="107" customFormat="1">
      <c r="A377" s="106"/>
      <c r="B377" s="74"/>
      <c r="C377" s="67"/>
      <c r="D377" s="77"/>
      <c r="E377" s="253"/>
      <c r="F377" s="253"/>
      <c r="G377" s="161"/>
      <c r="L377" s="146"/>
    </row>
    <row r="378" spans="1:12" s="107" customFormat="1">
      <c r="A378" s="106"/>
      <c r="B378" s="88" t="s">
        <v>27</v>
      </c>
      <c r="C378" s="67"/>
      <c r="D378" s="77"/>
      <c r="E378" s="253"/>
      <c r="F378" s="253"/>
      <c r="G378" s="161"/>
      <c r="L378" s="146"/>
    </row>
    <row r="379" spans="1:12" s="107" customFormat="1">
      <c r="A379" s="106"/>
      <c r="B379" s="74"/>
      <c r="C379" s="67"/>
      <c r="D379" s="109">
        <v>0</v>
      </c>
      <c r="E379" s="253"/>
      <c r="F379" s="253"/>
      <c r="G379" s="161"/>
      <c r="L379" s="146"/>
    </row>
    <row r="380" spans="1:12" s="107" customFormat="1">
      <c r="A380" s="106"/>
      <c r="B380" s="74"/>
      <c r="C380" s="67"/>
      <c r="D380" s="109">
        <v>0</v>
      </c>
      <c r="E380" s="253"/>
      <c r="F380" s="253"/>
      <c r="G380" s="161"/>
      <c r="L380" s="146"/>
    </row>
    <row r="381" spans="1:12" s="107" customFormat="1">
      <c r="A381" s="106"/>
      <c r="B381" s="74"/>
      <c r="C381" s="67"/>
      <c r="D381" s="109">
        <v>0</v>
      </c>
      <c r="E381" s="253"/>
      <c r="F381" s="253"/>
      <c r="G381" s="161"/>
      <c r="L381" s="146"/>
    </row>
    <row r="382" spans="1:12" s="107" customFormat="1">
      <c r="A382" s="106"/>
      <c r="B382" s="74"/>
      <c r="C382" s="67"/>
      <c r="D382" s="109">
        <v>0</v>
      </c>
      <c r="E382" s="253"/>
      <c r="F382" s="253"/>
      <c r="G382" s="161"/>
      <c r="L382" s="146"/>
    </row>
    <row r="383" spans="1:12" s="107" customFormat="1">
      <c r="A383" s="106"/>
      <c r="B383" s="76"/>
      <c r="C383" s="67"/>
      <c r="D383" s="338">
        <v>0</v>
      </c>
      <c r="E383" s="253"/>
      <c r="F383" s="253"/>
      <c r="G383" s="161"/>
      <c r="L383" s="146"/>
    </row>
    <row r="384" spans="1:12" s="107" customFormat="1">
      <c r="A384" s="106"/>
      <c r="B384" s="91" t="s">
        <v>147</v>
      </c>
      <c r="D384" s="75">
        <f>SUM(D379:D383)</f>
        <v>0</v>
      </c>
      <c r="E384" s="253"/>
      <c r="F384" s="253"/>
      <c r="G384" s="161"/>
      <c r="J384" s="85"/>
      <c r="L384" s="146"/>
    </row>
    <row r="385" spans="1:12" s="107" customFormat="1">
      <c r="A385" s="106"/>
      <c r="B385" s="92" t="s">
        <v>148</v>
      </c>
      <c r="D385" s="258">
        <f>D311</f>
        <v>0</v>
      </c>
      <c r="E385" s="253"/>
      <c r="F385" s="253"/>
      <c r="G385" s="161"/>
      <c r="L385" s="146"/>
    </row>
    <row r="386" spans="1:12" s="107" customFormat="1">
      <c r="A386" s="106"/>
      <c r="B386" s="92" t="s">
        <v>77</v>
      </c>
      <c r="D386" s="254">
        <f>D384-D385</f>
        <v>0</v>
      </c>
      <c r="E386" s="253"/>
      <c r="F386" s="253"/>
      <c r="G386" s="161"/>
      <c r="L386" s="146"/>
    </row>
    <row r="387" spans="1:12" s="107" customFormat="1">
      <c r="A387" s="106"/>
      <c r="B387" s="89" t="s">
        <v>11</v>
      </c>
      <c r="C387" s="107" t="s">
        <v>11</v>
      </c>
      <c r="D387" s="83" t="s">
        <v>11</v>
      </c>
      <c r="E387" s="253"/>
      <c r="F387" s="253"/>
      <c r="G387" s="161"/>
      <c r="L387" s="146"/>
    </row>
    <row r="388" spans="1:12" s="107" customFormat="1">
      <c r="A388" s="106"/>
      <c r="B388" s="91" t="s">
        <v>147</v>
      </c>
      <c r="D388" s="257">
        <f>D325+D342+D349+D356+D363+D374+D384</f>
        <v>0</v>
      </c>
      <c r="E388" s="253"/>
      <c r="F388" s="253"/>
      <c r="G388" s="161"/>
      <c r="L388" s="146"/>
    </row>
    <row r="389" spans="1:12" s="107" customFormat="1">
      <c r="A389" s="106"/>
      <c r="B389" s="92" t="s">
        <v>148</v>
      </c>
      <c r="D389" s="258">
        <f>D314</f>
        <v>0</v>
      </c>
      <c r="E389" s="253"/>
      <c r="F389" s="253"/>
      <c r="G389" s="161"/>
      <c r="L389" s="146"/>
    </row>
    <row r="390" spans="1:12" s="107" customFormat="1">
      <c r="A390" s="106"/>
      <c r="B390" s="92" t="s">
        <v>77</v>
      </c>
      <c r="D390" s="254">
        <f>D388-D389</f>
        <v>0</v>
      </c>
      <c r="E390" s="253"/>
      <c r="F390" s="253"/>
      <c r="G390" s="161"/>
      <c r="H390" s="107" t="s">
        <v>11</v>
      </c>
      <c r="L390" s="146"/>
    </row>
    <row r="391" spans="1:12" s="107" customFormat="1">
      <c r="A391" s="106"/>
      <c r="B391" s="146"/>
      <c r="D391" s="253"/>
      <c r="E391" s="253"/>
      <c r="F391" s="253"/>
      <c r="G391" s="161"/>
      <c r="H391" s="146" t="s">
        <v>11</v>
      </c>
      <c r="L391" s="146"/>
    </row>
    <row r="392" spans="1:12" s="107" customFormat="1">
      <c r="A392" s="106"/>
      <c r="B392" s="146"/>
      <c r="D392" s="253"/>
      <c r="E392" s="253"/>
      <c r="F392" s="253"/>
      <c r="G392" s="161"/>
      <c r="H392" s="146"/>
      <c r="L392" s="146"/>
    </row>
    <row r="393" spans="1:12" s="107" customFormat="1">
      <c r="A393" s="106"/>
      <c r="B393" s="93" t="s">
        <v>155</v>
      </c>
      <c r="D393" s="253"/>
      <c r="E393" s="253"/>
      <c r="F393" s="253"/>
      <c r="G393" s="161"/>
      <c r="L393" s="146"/>
    </row>
    <row r="394" spans="1:12" s="107" customFormat="1">
      <c r="A394" s="106"/>
      <c r="B394" s="94" t="s">
        <v>156</v>
      </c>
      <c r="D394" s="122">
        <f>F314</f>
        <v>0</v>
      </c>
      <c r="F394" s="253"/>
      <c r="G394" s="161"/>
      <c r="L394" s="146"/>
    </row>
    <row r="395" spans="1:12" s="107" customFormat="1">
      <c r="A395" s="106"/>
      <c r="B395" s="95" t="s">
        <v>157</v>
      </c>
      <c r="D395" s="123">
        <f>'Budget show 1'!I19</f>
        <v>0</v>
      </c>
      <c r="F395" s="253"/>
      <c r="G395" s="161"/>
      <c r="L395" s="146"/>
    </row>
    <row r="396" spans="1:12" s="107" customFormat="1">
      <c r="A396" s="106"/>
      <c r="B396" s="95" t="s">
        <v>77</v>
      </c>
      <c r="D396" s="96">
        <f>D394-D395</f>
        <v>0</v>
      </c>
      <c r="E396" s="121">
        <f>IFERROR(D396/D395,0)</f>
        <v>0</v>
      </c>
      <c r="F396" s="253"/>
      <c r="G396" s="161"/>
      <c r="L396" s="146"/>
    </row>
    <row r="397" spans="1:12" s="107" customFormat="1">
      <c r="A397" s="106"/>
      <c r="B397" s="146"/>
      <c r="G397" s="161"/>
      <c r="L397" s="146"/>
    </row>
    <row r="398" spans="1:12" s="107" customFormat="1">
      <c r="A398" s="106"/>
      <c r="B398" s="146"/>
      <c r="G398" s="161"/>
      <c r="L398" s="146"/>
    </row>
    <row r="399" spans="1:12" s="107" customFormat="1">
      <c r="A399" s="106"/>
      <c r="B399" s="97" t="s">
        <v>158</v>
      </c>
      <c r="D399" s="98">
        <f ca="1">TODAY()</f>
        <v>46106</v>
      </c>
      <c r="G399" s="161"/>
      <c r="L399" s="146"/>
    </row>
    <row r="400" spans="1:12" s="107" customFormat="1">
      <c r="A400" s="106"/>
      <c r="B400" s="146"/>
      <c r="G400" s="161"/>
      <c r="L400" s="146"/>
    </row>
    <row r="401" spans="1:12" s="107" customFormat="1">
      <c r="A401" s="106"/>
      <c r="B401" s="146"/>
      <c r="L401" s="146"/>
    </row>
    <row r="402" spans="1:12" s="107" customFormat="1">
      <c r="A402" s="106"/>
      <c r="B402" s="146"/>
      <c r="L402" s="146"/>
    </row>
    <row r="403" spans="1:12" s="107" customFormat="1">
      <c r="A403" s="106"/>
      <c r="B403" s="146"/>
      <c r="L403" s="146"/>
    </row>
    <row r="405" spans="1:12" s="107" customFormat="1">
      <c r="A405" s="106"/>
      <c r="B405" s="146"/>
      <c r="L405" s="146"/>
    </row>
  </sheetData>
  <mergeCells count="1">
    <mergeCell ref="B318:F318"/>
  </mergeCells>
  <conditionalFormatting sqref="D327">
    <cfRule type="cellIs" dxfId="465" priority="14" stopIfTrue="1" operator="equal">
      <formula>0</formula>
    </cfRule>
    <cfRule type="cellIs" dxfId="464" priority="13" stopIfTrue="1" operator="notEqual">
      <formula>0</formula>
    </cfRule>
  </conditionalFormatting>
  <conditionalFormatting sqref="D344">
    <cfRule type="cellIs" dxfId="463" priority="12" stopIfTrue="1" operator="equal">
      <formula>0</formula>
    </cfRule>
    <cfRule type="cellIs" dxfId="462" priority="11" stopIfTrue="1" operator="notEqual">
      <formula>0</formula>
    </cfRule>
  </conditionalFormatting>
  <conditionalFormatting sqref="D351">
    <cfRule type="cellIs" dxfId="461" priority="10" stopIfTrue="1" operator="equal">
      <formula>0</formula>
    </cfRule>
    <cfRule type="cellIs" dxfId="460" priority="9" stopIfTrue="1" operator="notEqual">
      <formula>0</formula>
    </cfRule>
  </conditionalFormatting>
  <conditionalFormatting sqref="D358">
    <cfRule type="cellIs" dxfId="459" priority="7" stopIfTrue="1" operator="notEqual">
      <formula>0</formula>
    </cfRule>
    <cfRule type="cellIs" dxfId="458" priority="8" stopIfTrue="1" operator="equal">
      <formula>0</formula>
    </cfRule>
  </conditionalFormatting>
  <conditionalFormatting sqref="D365">
    <cfRule type="cellIs" dxfId="457" priority="6" stopIfTrue="1" operator="equal">
      <formula>0</formula>
    </cfRule>
    <cfRule type="cellIs" dxfId="456" priority="5" stopIfTrue="1" operator="notEqual">
      <formula>0</formula>
    </cfRule>
  </conditionalFormatting>
  <conditionalFormatting sqref="D376">
    <cfRule type="cellIs" dxfId="455" priority="4" stopIfTrue="1" operator="equal">
      <formula>0</formula>
    </cfRule>
    <cfRule type="cellIs" dxfId="454" priority="3" stopIfTrue="1" operator="notEqual">
      <formula>0</formula>
    </cfRule>
  </conditionalFormatting>
  <conditionalFormatting sqref="D386">
    <cfRule type="cellIs" dxfId="453" priority="2" stopIfTrue="1" operator="equal">
      <formula>0</formula>
    </cfRule>
    <cfRule type="cellIs" dxfId="452" priority="1" stopIfTrue="1" operator="notEqual">
      <formula>0</formula>
    </cfRule>
  </conditionalFormatting>
  <conditionalFormatting sqref="D390">
    <cfRule type="cellIs" dxfId="451" priority="273" stopIfTrue="1" operator="equal">
      <formula>0</formula>
    </cfRule>
    <cfRule type="cellIs" dxfId="450" priority="272" stopIfTrue="1" operator="notEqual">
      <formula>0</formula>
    </cfRule>
  </conditionalFormatting>
  <conditionalFormatting sqref="D396:E396">
    <cfRule type="cellIs" dxfId="449" priority="231" stopIfTrue="1" operator="lessThanOrEqual">
      <formula>0</formula>
    </cfRule>
    <cfRule type="cellIs" dxfId="448" priority="232" stopIfTrue="1" operator="greaterThan">
      <formula>0</formula>
    </cfRule>
  </conditionalFormatting>
  <conditionalFormatting sqref="F321:F322">
    <cfRule type="cellIs" dxfId="447" priority="238" stopIfTrue="1" operator="greaterThan">
      <formula>0</formula>
    </cfRule>
    <cfRule type="cellIs" dxfId="446" priority="237" stopIfTrue="1" operator="lessThanOrEqual">
      <formula>0</formula>
    </cfRule>
  </conditionalFormatting>
  <conditionalFormatting sqref="I10">
    <cfRule type="cellIs" dxfId="445" priority="241" operator="greaterThan">
      <formula>0</formula>
    </cfRule>
    <cfRule type="cellIs" dxfId="444" priority="242" operator="lessThanOrEqual">
      <formula>0</formula>
    </cfRule>
  </conditionalFormatting>
  <conditionalFormatting sqref="I15:I20">
    <cfRule type="cellIs" dxfId="443" priority="199" operator="greaterThan">
      <formula>0</formula>
    </cfRule>
    <cfRule type="cellIs" dxfId="442" priority="200" operator="lessThanOrEqual">
      <formula>0</formula>
    </cfRule>
  </conditionalFormatting>
  <conditionalFormatting sqref="I22">
    <cfRule type="cellIs" dxfId="441" priority="183" operator="greaterThan">
      <formula>0</formula>
    </cfRule>
    <cfRule type="cellIs" dxfId="440" priority="184" operator="lessThanOrEqual">
      <formula>0</formula>
    </cfRule>
  </conditionalFormatting>
  <conditionalFormatting sqref="I25">
    <cfRule type="cellIs" dxfId="439" priority="271" operator="lessThanOrEqual">
      <formula>0</formula>
    </cfRule>
    <cfRule type="cellIs" dxfId="438" priority="270" operator="greaterThan">
      <formula>0</formula>
    </cfRule>
  </conditionalFormatting>
  <conditionalFormatting sqref="I29:I37">
    <cfRule type="cellIs" dxfId="437" priority="186" operator="lessThanOrEqual">
      <formula>0</formula>
    </cfRule>
    <cfRule type="cellIs" dxfId="436" priority="185" operator="greaterThan">
      <formula>0</formula>
    </cfRule>
  </conditionalFormatting>
  <conditionalFormatting sqref="I39">
    <cfRule type="cellIs" dxfId="435" priority="182" operator="lessThanOrEqual">
      <formula>0</formula>
    </cfRule>
    <cfRule type="cellIs" dxfId="434" priority="181" operator="greaterThan">
      <formula>0</formula>
    </cfRule>
  </conditionalFormatting>
  <conditionalFormatting sqref="I41">
    <cfRule type="cellIs" dxfId="433" priority="269" operator="lessThanOrEqual">
      <formula>0</formula>
    </cfRule>
    <cfRule type="cellIs" dxfId="432" priority="268" operator="greaterThan">
      <formula>0</formula>
    </cfRule>
  </conditionalFormatting>
  <conditionalFormatting sqref="I45:I47">
    <cfRule type="cellIs" dxfId="431" priority="176" operator="lessThanOrEqual">
      <formula>0</formula>
    </cfRule>
    <cfRule type="cellIs" dxfId="430" priority="175" operator="greaterThan">
      <formula>0</formula>
    </cfRule>
  </conditionalFormatting>
  <conditionalFormatting sqref="I49">
    <cfRule type="cellIs" dxfId="429" priority="266" operator="greaterThan">
      <formula>0</formula>
    </cfRule>
    <cfRule type="cellIs" dxfId="428" priority="267" operator="lessThanOrEqual">
      <formula>0</formula>
    </cfRule>
  </conditionalFormatting>
  <conditionalFormatting sqref="I53:I66">
    <cfRule type="cellIs" dxfId="427" priority="162" operator="lessThanOrEqual">
      <formula>0</formula>
    </cfRule>
    <cfRule type="cellIs" dxfId="426" priority="161" operator="greaterThan">
      <formula>0</formula>
    </cfRule>
  </conditionalFormatting>
  <conditionalFormatting sqref="I68">
    <cfRule type="cellIs" dxfId="425" priority="265" operator="lessThanOrEqual">
      <formula>0</formula>
    </cfRule>
    <cfRule type="cellIs" dxfId="424" priority="264" operator="greaterThan">
      <formula>0</formula>
    </cfRule>
  </conditionalFormatting>
  <conditionalFormatting sqref="I72:I83">
    <cfRule type="cellIs" dxfId="423" priority="147" operator="greaterThan">
      <formula>0</formula>
    </cfRule>
    <cfRule type="cellIs" dxfId="422" priority="148" operator="lessThanOrEqual">
      <formula>0</formula>
    </cfRule>
  </conditionalFormatting>
  <conditionalFormatting sqref="I85">
    <cfRule type="cellIs" dxfId="421" priority="262" operator="greaterThan">
      <formula>0</formula>
    </cfRule>
    <cfRule type="cellIs" dxfId="420" priority="263" operator="lessThanOrEqual">
      <formula>0</formula>
    </cfRule>
  </conditionalFormatting>
  <conditionalFormatting sqref="I89:I92">
    <cfRule type="cellIs" dxfId="419" priority="139" operator="greaterThan">
      <formula>0</formula>
    </cfRule>
    <cfRule type="cellIs" dxfId="418" priority="140" operator="lessThanOrEqual">
      <formula>0</formula>
    </cfRule>
  </conditionalFormatting>
  <conditionalFormatting sqref="I94">
    <cfRule type="cellIs" dxfId="417" priority="260" operator="greaterThan">
      <formula>0</formula>
    </cfRule>
    <cfRule type="cellIs" dxfId="416" priority="261" operator="lessThanOrEqual">
      <formula>0</formula>
    </cfRule>
  </conditionalFormatting>
  <conditionalFormatting sqref="I98:I104">
    <cfRule type="cellIs" dxfId="415" priority="126" operator="lessThanOrEqual">
      <formula>0</formula>
    </cfRule>
    <cfRule type="cellIs" dxfId="414" priority="125" operator="greaterThan">
      <formula>0</formula>
    </cfRule>
  </conditionalFormatting>
  <conditionalFormatting sqref="I106">
    <cfRule type="cellIs" dxfId="413" priority="258" operator="greaterThan">
      <formula>0</formula>
    </cfRule>
    <cfRule type="cellIs" dxfId="412" priority="259" operator="lessThanOrEqual">
      <formula>0</formula>
    </cfRule>
  </conditionalFormatting>
  <conditionalFormatting sqref="I110:I119">
    <cfRule type="cellIs" dxfId="411" priority="105" operator="greaterThan">
      <formula>0</formula>
    </cfRule>
    <cfRule type="cellIs" dxfId="410" priority="106" operator="lessThanOrEqual">
      <formula>0</formula>
    </cfRule>
  </conditionalFormatting>
  <conditionalFormatting sqref="I121">
    <cfRule type="cellIs" dxfId="409" priority="23" operator="greaterThan">
      <formula>0</formula>
    </cfRule>
    <cfRule type="cellIs" dxfId="408" priority="24" operator="lessThanOrEqual">
      <formula>0</formula>
    </cfRule>
  </conditionalFormatting>
  <conditionalFormatting sqref="I123">
    <cfRule type="cellIs" dxfId="407" priority="25" operator="greaterThan">
      <formula>0</formula>
    </cfRule>
    <cfRule type="cellIs" dxfId="406" priority="26" operator="lessThanOrEqual">
      <formula>0</formula>
    </cfRule>
  </conditionalFormatting>
  <conditionalFormatting sqref="I126:I128">
    <cfRule type="cellIs" dxfId="405" priority="100" operator="lessThanOrEqual">
      <formula>0</formula>
    </cfRule>
    <cfRule type="cellIs" dxfId="404" priority="99" operator="greaterThan">
      <formula>0</formula>
    </cfRule>
  </conditionalFormatting>
  <conditionalFormatting sqref="I130">
    <cfRule type="cellIs" dxfId="403" priority="97" operator="greaterThan">
      <formula>0</formula>
    </cfRule>
    <cfRule type="cellIs" dxfId="402" priority="98" operator="lessThanOrEqual">
      <formula>0</formula>
    </cfRule>
  </conditionalFormatting>
  <conditionalFormatting sqref="I132">
    <cfRule type="cellIs" dxfId="401" priority="256" operator="greaterThan">
      <formula>0</formula>
    </cfRule>
    <cfRule type="cellIs" dxfId="400" priority="257" operator="lessThanOrEqual">
      <formula>0</formula>
    </cfRule>
  </conditionalFormatting>
  <conditionalFormatting sqref="I136:I145">
    <cfRule type="cellIs" dxfId="399" priority="73" operator="greaterThan">
      <formula>0</formula>
    </cfRule>
    <cfRule type="cellIs" dxfId="398" priority="74" operator="lessThanOrEqual">
      <formula>0</formula>
    </cfRule>
  </conditionalFormatting>
  <conditionalFormatting sqref="I147">
    <cfRule type="cellIs" dxfId="397" priority="254" operator="greaterThan">
      <formula>0</formula>
    </cfRule>
    <cfRule type="cellIs" dxfId="396" priority="255" operator="lessThanOrEqual">
      <formula>0</formula>
    </cfRule>
  </conditionalFormatting>
  <conditionalFormatting sqref="I151:I153">
    <cfRule type="cellIs" dxfId="395" priority="19" operator="greaterThan">
      <formula>0</formula>
    </cfRule>
    <cfRule type="cellIs" dxfId="394" priority="20" operator="lessThanOrEqual">
      <formula>0</formula>
    </cfRule>
  </conditionalFormatting>
  <conditionalFormatting sqref="I155">
    <cfRule type="cellIs" dxfId="393" priority="18" operator="lessThanOrEqual">
      <formula>0</formula>
    </cfRule>
    <cfRule type="cellIs" dxfId="392" priority="17" operator="greaterThan">
      <formula>0</formula>
    </cfRule>
  </conditionalFormatting>
  <conditionalFormatting sqref="I157">
    <cfRule type="cellIs" dxfId="391" priority="22" operator="lessThanOrEqual">
      <formula>0</formula>
    </cfRule>
    <cfRule type="cellIs" dxfId="390" priority="21" operator="greaterThan">
      <formula>0</formula>
    </cfRule>
  </conditionalFormatting>
  <conditionalFormatting sqref="I160">
    <cfRule type="cellIs" dxfId="389" priority="252" operator="greaterThan">
      <formula>0</formula>
    </cfRule>
    <cfRule type="cellIs" dxfId="388" priority="253" operator="lessThanOrEqual">
      <formula>0</formula>
    </cfRule>
  </conditionalFormatting>
  <conditionalFormatting sqref="I166:I170">
    <cfRule type="cellIs" dxfId="387" priority="63" operator="greaterThan">
      <formula>0</formula>
    </cfRule>
    <cfRule type="cellIs" dxfId="386" priority="64" operator="lessThanOrEqual">
      <formula>0</formula>
    </cfRule>
  </conditionalFormatting>
  <conditionalFormatting sqref="I173:I177">
    <cfRule type="cellIs" dxfId="385" priority="54" operator="lessThanOrEqual">
      <formula>0</formula>
    </cfRule>
    <cfRule type="cellIs" dxfId="384" priority="53" operator="greaterThan">
      <formula>0</formula>
    </cfRule>
  </conditionalFormatting>
  <conditionalFormatting sqref="I180:I182">
    <cfRule type="cellIs" dxfId="383" priority="48" operator="lessThanOrEqual">
      <formula>0</formula>
    </cfRule>
    <cfRule type="cellIs" dxfId="382" priority="47" operator="greaterThan">
      <formula>0</formula>
    </cfRule>
  </conditionalFormatting>
  <conditionalFormatting sqref="I185:I188">
    <cfRule type="cellIs" dxfId="381" priority="39" operator="greaterThan">
      <formula>0</formula>
    </cfRule>
    <cfRule type="cellIs" dxfId="380" priority="40" operator="lessThanOrEqual">
      <formula>0</formula>
    </cfRule>
  </conditionalFormatting>
  <conditionalFormatting sqref="I191:I195">
    <cfRule type="cellIs" dxfId="379" priority="30" operator="lessThanOrEqual">
      <formula>0</formula>
    </cfRule>
    <cfRule type="cellIs" dxfId="378" priority="29" operator="greaterThan">
      <formula>0</formula>
    </cfRule>
  </conditionalFormatting>
  <conditionalFormatting sqref="I197">
    <cfRule type="cellIs" dxfId="377" priority="28" operator="lessThanOrEqual">
      <formula>0</formula>
    </cfRule>
    <cfRule type="cellIs" dxfId="376" priority="27" operator="greaterThan">
      <formula>0</formula>
    </cfRule>
  </conditionalFormatting>
  <conditionalFormatting sqref="I199">
    <cfRule type="cellIs" dxfId="375" priority="251" operator="lessThanOrEqual">
      <formula>0</formula>
    </cfRule>
    <cfRule type="cellIs" dxfId="374" priority="250" operator="greaterThan">
      <formula>0</formula>
    </cfRule>
  </conditionalFormatting>
  <conditionalFormatting sqref="I216">
    <cfRule type="cellIs" dxfId="373" priority="239" operator="lessThanOrEqual">
      <formula>0</formula>
    </cfRule>
    <cfRule type="cellIs" dxfId="372" priority="240" operator="greaterThan">
      <formula>0</formula>
    </cfRule>
  </conditionalFormatting>
  <conditionalFormatting sqref="I228:I229">
    <cfRule type="cellIs" dxfId="371" priority="246" operator="greaterThan">
      <formula>0</formula>
    </cfRule>
    <cfRule type="cellIs" dxfId="370" priority="247" operator="lessThanOrEqual">
      <formula>0</formula>
    </cfRule>
  </conditionalFormatting>
  <conditionalFormatting sqref="I233">
    <cfRule type="cellIs" dxfId="369" priority="245" operator="lessThanOrEqual">
      <formula>0</formula>
    </cfRule>
    <cfRule type="cellIs" dxfId="368" priority="244" operator="greaterThan">
      <formula>0</formula>
    </cfRule>
  </conditionalFormatting>
  <conditionalFormatting sqref="I251:I252">
    <cfRule type="cellIs" dxfId="367" priority="223" operator="greaterThan">
      <formula>0</formula>
    </cfRule>
    <cfRule type="cellIs" dxfId="366" priority="224" operator="lessThanOrEqual">
      <formula>0</formula>
    </cfRule>
  </conditionalFormatting>
  <conditionalFormatting sqref="I256">
    <cfRule type="cellIs" dxfId="365" priority="16" operator="lessThanOrEqual">
      <formula>0</formula>
    </cfRule>
    <cfRule type="cellIs" dxfId="364" priority="15" operator="greaterThan">
      <formula>0</formula>
    </cfRule>
  </conditionalFormatting>
  <conditionalFormatting sqref="I262:I263">
    <cfRule type="cellIs" dxfId="363" priority="220" operator="lessThanOrEqual">
      <formula>0</formula>
    </cfRule>
    <cfRule type="cellIs" dxfId="362" priority="219" operator="greaterThan">
      <formula>0</formula>
    </cfRule>
  </conditionalFormatting>
  <conditionalFormatting sqref="I267">
    <cfRule type="cellIs" dxfId="361" priority="218" operator="lessThanOrEqual">
      <formula>0</formula>
    </cfRule>
    <cfRule type="cellIs" dxfId="360" priority="217" operator="greaterThan">
      <formula>0</formula>
    </cfRule>
  </conditionalFormatting>
  <conditionalFormatting sqref="I282">
    <cfRule type="cellIs" dxfId="359" priority="210" operator="lessThanOrEqual">
      <formula>0</formula>
    </cfRule>
    <cfRule type="cellIs" dxfId="358" priority="209" operator="greaterThan">
      <formula>0</formula>
    </cfRule>
  </conditionalFormatting>
  <conditionalFormatting sqref="I298">
    <cfRule type="cellIs" dxfId="357" priority="229" operator="greaterThan">
      <formula>0</formula>
    </cfRule>
    <cfRule type="cellIs" dxfId="356" priority="230" operator="lessThanOrEqual">
      <formula>0</formula>
    </cfRule>
  </conditionalFormatting>
  <conditionalFormatting sqref="I302">
    <cfRule type="cellIs" dxfId="355" priority="215" operator="greaterThan">
      <formula>0</formula>
    </cfRule>
    <cfRule type="cellIs" dxfId="354" priority="216" operator="lessThanOrEqual">
      <formula>0</formula>
    </cfRule>
  </conditionalFormatting>
  <conditionalFormatting sqref="I311">
    <cfRule type="cellIs" dxfId="353" priority="207" operator="greaterThan">
      <formula>0</formula>
    </cfRule>
    <cfRule type="cellIs" dxfId="352" priority="208" operator="lessThanOrEqual">
      <formula>0</formula>
    </cfRule>
  </conditionalFormatting>
  <conditionalFormatting sqref="J160">
    <cfRule type="cellIs" dxfId="351" priority="243" operator="notEqual">
      <formula>0</formula>
    </cfRule>
  </conditionalFormatting>
  <printOptions gridLines="1" gridLinesSet="0"/>
  <pageMargins left="0.79000000000000015" right="0.79000000000000015" top="0.98" bottom="0.98" header="0.51" footer="0.51"/>
  <pageSetup paperSize="9" orientation="portrait" horizontalDpi="4294967292" verticalDpi="4294967292"/>
  <headerFooter>
    <oddHeader>&amp;L&amp;K000000Client&amp;C&amp;K000000Show&amp;R&amp;K000000&amp;F</oddHeader>
    <oddFooter>&amp;LCalculation Boom&amp;C&amp;Pvan&amp;N&amp;R&amp;T/&amp;D</oddFooter>
  </headerFooter>
  <ignoredErrors>
    <ignoredError sqref="E211:E214 F205:F209" emptyCellReference="1"/>
  </ignoredErrors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875D-552B-184A-8442-4B3F273DD627}">
  <sheetPr>
    <pageSetUpPr fitToPage="1"/>
  </sheetPr>
  <dimension ref="A1:L405"/>
  <sheetViews>
    <sheetView zoomScaleNormal="100" zoomScalePageLayoutView="125" workbookViewId="0">
      <pane ySplit="2" topLeftCell="A3" activePane="bottomLeft" state="frozen"/>
      <selection pane="bottomLeft" activeCell="D414" sqref="D414"/>
    </sheetView>
  </sheetViews>
  <sheetFormatPr defaultColWidth="10.875" defaultRowHeight="12.95"/>
  <cols>
    <col min="1" max="1" width="6.875" style="106" customWidth="1"/>
    <col min="2" max="2" width="50.875" style="146" customWidth="1"/>
    <col min="3" max="3" width="2.375" style="107" customWidth="1"/>
    <col min="4" max="6" width="14.875" style="107" customWidth="1"/>
    <col min="7" max="7" width="2.375" style="107" customWidth="1"/>
    <col min="8" max="8" width="17.875" style="107" customWidth="1"/>
    <col min="9" max="9" width="14.875" style="107" customWidth="1"/>
    <col min="10" max="10" width="12.5" style="107" customWidth="1"/>
    <col min="11" max="11" width="10.875" style="107"/>
    <col min="12" max="16384" width="10.875" style="146"/>
  </cols>
  <sheetData>
    <row r="1" spans="1:10">
      <c r="D1" s="65" t="s">
        <v>65</v>
      </c>
      <c r="E1" s="66">
        <v>1.3</v>
      </c>
      <c r="F1" s="147" t="s">
        <v>11</v>
      </c>
      <c r="G1" s="147"/>
      <c r="H1" s="148"/>
      <c r="I1" s="149"/>
      <c r="J1" s="149"/>
    </row>
    <row r="2" spans="1:10" ht="14.1" thickBot="1">
      <c r="A2" s="150"/>
      <c r="B2" s="68" t="s">
        <v>66</v>
      </c>
      <c r="C2" s="69"/>
      <c r="D2" s="69" t="s">
        <v>67</v>
      </c>
      <c r="E2" s="69" t="s">
        <v>29</v>
      </c>
      <c r="F2" s="69" t="s">
        <v>68</v>
      </c>
      <c r="G2" s="71"/>
      <c r="J2" s="151"/>
    </row>
    <row r="3" spans="1:10" ht="14.1" thickBot="1">
      <c r="B3" s="70"/>
      <c r="C3" s="71"/>
      <c r="D3" s="71"/>
      <c r="E3" s="71"/>
      <c r="F3" s="71"/>
      <c r="G3" s="71"/>
      <c r="H3" s="71"/>
      <c r="I3" s="71"/>
      <c r="J3" s="151"/>
    </row>
    <row r="4" spans="1:10">
      <c r="A4" s="152" t="s">
        <v>11</v>
      </c>
      <c r="B4" s="99" t="str">
        <f>'Budget show 2'!E4</f>
        <v>name</v>
      </c>
      <c r="C4" s="80"/>
      <c r="D4" s="219" t="s">
        <v>69</v>
      </c>
      <c r="E4" s="220" t="s">
        <v>70</v>
      </c>
      <c r="F4" s="221"/>
      <c r="G4" s="153"/>
      <c r="H4" s="71"/>
      <c r="I4" s="71"/>
      <c r="J4" s="151"/>
    </row>
    <row r="5" spans="1:10">
      <c r="A5" s="152"/>
      <c r="B5" s="100" t="str">
        <f>'Budget show 2'!E5</f>
        <v>show</v>
      </c>
      <c r="C5" s="80"/>
      <c r="D5" s="222" t="s">
        <v>71</v>
      </c>
      <c r="E5" s="223" t="s">
        <v>72</v>
      </c>
      <c r="F5" s="224"/>
      <c r="G5" s="153"/>
      <c r="H5" s="71"/>
      <c r="I5" s="71"/>
      <c r="J5" s="151"/>
    </row>
    <row r="6" spans="1:10">
      <c r="A6" s="152"/>
      <c r="B6" s="100" t="str">
        <f>'Budget show 2'!E6</f>
        <v>Month ##-##, 2025</v>
      </c>
      <c r="C6" s="80"/>
      <c r="H6" s="71"/>
      <c r="I6" s="71"/>
      <c r="J6" s="151"/>
    </row>
    <row r="7" spans="1:10">
      <c r="A7" s="152"/>
      <c r="B7" s="100" t="str">
        <f>'Budget show 2'!E7</f>
        <v>Place, Country</v>
      </c>
      <c r="C7" s="80"/>
      <c r="D7" s="71"/>
      <c r="E7" s="71"/>
      <c r="F7" s="71"/>
      <c r="G7" s="71"/>
      <c r="H7" s="71"/>
      <c r="I7" s="71"/>
      <c r="J7" s="151"/>
    </row>
    <row r="8" spans="1:10">
      <c r="A8" s="152"/>
      <c r="B8" s="100" t="str">
        <f>'Budget show 2'!E8</f>
        <v>Project nummer (Hubspot)</v>
      </c>
      <c r="C8" s="80"/>
      <c r="D8" s="71"/>
      <c r="E8" s="71"/>
      <c r="F8" s="71"/>
      <c r="G8" s="71"/>
      <c r="H8" s="71"/>
      <c r="I8" s="71"/>
      <c r="J8" s="151"/>
    </row>
    <row r="9" spans="1:10">
      <c r="A9" s="152"/>
      <c r="B9" s="72"/>
      <c r="C9" s="80"/>
      <c r="D9" s="102" t="s">
        <v>73</v>
      </c>
      <c r="E9" s="103" t="s">
        <v>74</v>
      </c>
      <c r="F9" s="104" t="s">
        <v>75</v>
      </c>
      <c r="G9" s="155"/>
      <c r="H9" s="104" t="s">
        <v>76</v>
      </c>
      <c r="I9" s="105" t="s">
        <v>77</v>
      </c>
      <c r="J9" s="151"/>
    </row>
    <row r="10" spans="1:10">
      <c r="A10" s="116">
        <f>'Budget show 2'!E10</f>
        <v>0</v>
      </c>
      <c r="B10" s="73" t="s">
        <v>78</v>
      </c>
      <c r="C10" s="80"/>
      <c r="D10" s="136" t="s">
        <v>79</v>
      </c>
      <c r="E10" s="124" t="str">
        <f>'Budget show 2'!E14</f>
        <v>-</v>
      </c>
      <c r="F10" s="113" t="s">
        <v>80</v>
      </c>
      <c r="G10" s="156"/>
      <c r="H10" s="114">
        <v>0</v>
      </c>
      <c r="I10" s="115">
        <f>A10-H10</f>
        <v>0</v>
      </c>
      <c r="J10" s="151"/>
    </row>
    <row r="11" spans="1:10">
      <c r="B11" s="70"/>
      <c r="C11" s="80"/>
      <c r="H11" s="71"/>
      <c r="I11" s="71"/>
      <c r="J11" s="151"/>
    </row>
    <row r="12" spans="1:10">
      <c r="B12" s="157" t="s">
        <v>81</v>
      </c>
      <c r="C12" s="80"/>
    </row>
    <row r="13" spans="1:10">
      <c r="B13" s="72"/>
      <c r="C13" s="80"/>
    </row>
    <row r="14" spans="1:10">
      <c r="B14" s="73" t="s">
        <v>82</v>
      </c>
      <c r="C14" s="80"/>
      <c r="H14" s="293" t="s">
        <v>83</v>
      </c>
      <c r="I14" s="293" t="s">
        <v>77</v>
      </c>
    </row>
    <row r="15" spans="1:10">
      <c r="A15" s="153">
        <v>0</v>
      </c>
      <c r="B15" s="225" t="s">
        <v>84</v>
      </c>
      <c r="C15" s="80"/>
      <c r="D15" s="226">
        <v>1</v>
      </c>
      <c r="E15" s="328">
        <f>F15-D15</f>
        <v>4</v>
      </c>
      <c r="F15" s="210">
        <f t="shared" ref="F15:F20" si="0">ROUNDUP((D15*fee/5),0)*5</f>
        <v>5</v>
      </c>
      <c r="G15" s="172"/>
      <c r="H15" s="294">
        <v>0</v>
      </c>
      <c r="I15" s="301">
        <f>F15-H15</f>
        <v>5</v>
      </c>
    </row>
    <row r="16" spans="1:10">
      <c r="A16" s="153">
        <v>0</v>
      </c>
      <c r="B16" s="227" t="s">
        <v>84</v>
      </c>
      <c r="C16" s="80"/>
      <c r="D16" s="228">
        <v>0</v>
      </c>
      <c r="E16" s="329">
        <f t="shared" ref="E15:E22" si="1">F16-D16</f>
        <v>0</v>
      </c>
      <c r="F16" s="211">
        <f>ROUNDUP((D16*fee/5),0)*5</f>
        <v>0</v>
      </c>
      <c r="G16" s="172"/>
      <c r="H16" s="249">
        <v>0</v>
      </c>
      <c r="I16" s="302">
        <f>F16-H16</f>
        <v>0</v>
      </c>
    </row>
    <row r="17" spans="1:11">
      <c r="A17" s="153">
        <v>0</v>
      </c>
      <c r="B17" s="227" t="s">
        <v>84</v>
      </c>
      <c r="C17" s="80"/>
      <c r="D17" s="228">
        <v>0</v>
      </c>
      <c r="E17" s="329">
        <f t="shared" si="1"/>
        <v>0</v>
      </c>
      <c r="F17" s="211">
        <f t="shared" si="0"/>
        <v>0</v>
      </c>
      <c r="G17" s="172"/>
      <c r="H17" s="249">
        <v>0</v>
      </c>
      <c r="I17" s="302">
        <f t="shared" ref="I17:I20" si="2">F17-H17</f>
        <v>0</v>
      </c>
    </row>
    <row r="18" spans="1:11">
      <c r="A18" s="153">
        <v>0</v>
      </c>
      <c r="B18" s="227" t="s">
        <v>84</v>
      </c>
      <c r="C18" s="80"/>
      <c r="D18" s="228">
        <v>0</v>
      </c>
      <c r="E18" s="329">
        <f t="shared" si="1"/>
        <v>0</v>
      </c>
      <c r="F18" s="211">
        <f t="shared" si="0"/>
        <v>0</v>
      </c>
      <c r="G18" s="172"/>
      <c r="H18" s="249">
        <v>0</v>
      </c>
      <c r="I18" s="302">
        <f t="shared" si="2"/>
        <v>0</v>
      </c>
    </row>
    <row r="19" spans="1:11">
      <c r="A19" s="153">
        <v>0</v>
      </c>
      <c r="B19" s="227" t="s">
        <v>84</v>
      </c>
      <c r="C19" s="80"/>
      <c r="D19" s="228">
        <v>0</v>
      </c>
      <c r="E19" s="329">
        <f t="shared" si="1"/>
        <v>0</v>
      </c>
      <c r="F19" s="211">
        <f t="shared" si="0"/>
        <v>0</v>
      </c>
      <c r="G19" s="172"/>
      <c r="H19" s="249">
        <v>0</v>
      </c>
      <c r="I19" s="302">
        <f t="shared" si="2"/>
        <v>0</v>
      </c>
    </row>
    <row r="20" spans="1:11">
      <c r="A20" s="106">
        <v>0</v>
      </c>
      <c r="B20" s="74" t="s">
        <v>84</v>
      </c>
      <c r="C20" s="80"/>
      <c r="D20" s="195">
        <v>0</v>
      </c>
      <c r="E20" s="329">
        <f t="shared" si="1"/>
        <v>0</v>
      </c>
      <c r="F20" s="211">
        <f t="shared" si="0"/>
        <v>0</v>
      </c>
      <c r="G20" s="172"/>
      <c r="H20" s="296">
        <v>0</v>
      </c>
      <c r="I20" s="303">
        <f t="shared" si="2"/>
        <v>0</v>
      </c>
    </row>
    <row r="21" spans="1:11">
      <c r="A21" s="153" t="s">
        <v>11</v>
      </c>
      <c r="B21" s="227" t="s">
        <v>11</v>
      </c>
      <c r="D21" s="162" t="s">
        <v>11</v>
      </c>
      <c r="E21" s="162" t="s">
        <v>11</v>
      </c>
      <c r="F21" s="162" t="s">
        <v>11</v>
      </c>
      <c r="G21" s="172"/>
      <c r="H21" s="85"/>
    </row>
    <row r="22" spans="1:11">
      <c r="A22" s="106">
        <v>0</v>
      </c>
      <c r="B22" s="117" t="s">
        <v>85</v>
      </c>
      <c r="D22" s="228">
        <v>0</v>
      </c>
      <c r="E22" s="211">
        <f t="shared" si="1"/>
        <v>0</v>
      </c>
      <c r="F22" s="195">
        <v>0</v>
      </c>
      <c r="G22" s="172"/>
      <c r="H22" s="310">
        <v>0</v>
      </c>
      <c r="I22" s="311">
        <f t="shared" ref="I22" si="3">F22-H22</f>
        <v>0</v>
      </c>
    </row>
    <row r="23" spans="1:11">
      <c r="A23" s="153" t="s">
        <v>11</v>
      </c>
      <c r="B23" s="227" t="s">
        <v>11</v>
      </c>
      <c r="D23" s="162" t="s">
        <v>11</v>
      </c>
      <c r="E23" s="162" t="s">
        <v>11</v>
      </c>
      <c r="F23" s="162" t="s">
        <v>11</v>
      </c>
      <c r="G23" s="172"/>
      <c r="H23" s="85"/>
    </row>
    <row r="24" spans="1:11">
      <c r="A24" s="106" t="s">
        <v>11</v>
      </c>
      <c r="B24" s="89" t="s">
        <v>11</v>
      </c>
      <c r="C24" s="107" t="s">
        <v>11</v>
      </c>
      <c r="D24" s="164" t="s">
        <v>11</v>
      </c>
      <c r="E24" s="162" t="s">
        <v>11</v>
      </c>
      <c r="F24" s="162" t="s">
        <v>11</v>
      </c>
      <c r="G24" s="172"/>
      <c r="I24" s="146"/>
    </row>
    <row r="25" spans="1:11">
      <c r="B25" s="97" t="str">
        <f>B14</f>
        <v>Floor</v>
      </c>
      <c r="C25" s="80"/>
      <c r="D25" s="212">
        <f>SUM(D15:D24)</f>
        <v>1</v>
      </c>
      <c r="E25" s="212">
        <f>SUM(E15:E24)</f>
        <v>4</v>
      </c>
      <c r="F25" s="179">
        <f>SUM(F15:F24)</f>
        <v>5</v>
      </c>
      <c r="G25" s="174"/>
      <c r="H25" s="315">
        <f>SUM(H15:H24)</f>
        <v>0</v>
      </c>
      <c r="I25" s="230">
        <f>F25-H25</f>
        <v>5</v>
      </c>
    </row>
    <row r="26" spans="1:11">
      <c r="B26" s="175" t="s">
        <v>11</v>
      </c>
      <c r="C26" s="80"/>
      <c r="D26" s="172"/>
      <c r="E26" s="172"/>
      <c r="F26" s="172"/>
      <c r="G26" s="172"/>
      <c r="K26" s="176" t="s">
        <v>11</v>
      </c>
    </row>
    <row r="27" spans="1:11">
      <c r="B27" s="175"/>
      <c r="C27" s="80"/>
      <c r="D27" s="172"/>
      <c r="E27" s="172"/>
      <c r="F27" s="172"/>
      <c r="G27" s="172"/>
    </row>
    <row r="28" spans="1:11">
      <c r="B28" s="73" t="s">
        <v>86</v>
      </c>
      <c r="C28" s="80"/>
      <c r="D28" s="172"/>
      <c r="E28" s="172"/>
      <c r="F28" s="335"/>
      <c r="G28" s="172"/>
      <c r="H28" s="293" t="s">
        <v>83</v>
      </c>
      <c r="I28" s="293" t="s">
        <v>77</v>
      </c>
    </row>
    <row r="29" spans="1:11">
      <c r="A29" s="153">
        <v>0</v>
      </c>
      <c r="B29" s="225" t="s">
        <v>84</v>
      </c>
      <c r="D29" s="170">
        <v>0</v>
      </c>
      <c r="E29" s="210">
        <f t="shared" ref="E29:E37" si="4">F29-D29</f>
        <v>0</v>
      </c>
      <c r="F29" s="211">
        <f t="shared" ref="F29:F37" si="5">ROUNDUP((D29*fee/5),0)*5</f>
        <v>0</v>
      </c>
      <c r="G29" s="172"/>
      <c r="H29" s="294">
        <v>0</v>
      </c>
      <c r="I29" s="301">
        <f>F29-H29</f>
        <v>0</v>
      </c>
    </row>
    <row r="30" spans="1:11">
      <c r="A30" s="153">
        <v>0</v>
      </c>
      <c r="B30" s="227" t="s">
        <v>84</v>
      </c>
      <c r="D30" s="173">
        <v>0</v>
      </c>
      <c r="E30" s="211">
        <f t="shared" si="4"/>
        <v>0</v>
      </c>
      <c r="F30" s="211">
        <f t="shared" si="5"/>
        <v>0</v>
      </c>
      <c r="G30" s="172"/>
      <c r="H30" s="249">
        <v>0</v>
      </c>
      <c r="I30" s="302">
        <f>F30-H30</f>
        <v>0</v>
      </c>
    </row>
    <row r="31" spans="1:11">
      <c r="A31" s="153">
        <v>0</v>
      </c>
      <c r="B31" s="227" t="s">
        <v>84</v>
      </c>
      <c r="D31" s="173">
        <v>0</v>
      </c>
      <c r="E31" s="211">
        <f t="shared" si="4"/>
        <v>0</v>
      </c>
      <c r="F31" s="211">
        <f t="shared" si="5"/>
        <v>0</v>
      </c>
      <c r="G31" s="172"/>
      <c r="H31" s="249">
        <v>0</v>
      </c>
      <c r="I31" s="302">
        <f t="shared" ref="I31:I37" si="6">F31-H31</f>
        <v>0</v>
      </c>
    </row>
    <row r="32" spans="1:11">
      <c r="A32" s="153">
        <v>0</v>
      </c>
      <c r="B32" s="227" t="s">
        <v>84</v>
      </c>
      <c r="D32" s="173">
        <v>0</v>
      </c>
      <c r="E32" s="211">
        <f t="shared" si="4"/>
        <v>0</v>
      </c>
      <c r="F32" s="211">
        <f t="shared" si="5"/>
        <v>0</v>
      </c>
      <c r="G32" s="172"/>
      <c r="H32" s="249">
        <v>0</v>
      </c>
      <c r="I32" s="302">
        <f t="shared" si="6"/>
        <v>0</v>
      </c>
    </row>
    <row r="33" spans="1:11">
      <c r="A33" s="153">
        <v>0</v>
      </c>
      <c r="B33" s="227" t="s">
        <v>84</v>
      </c>
      <c r="D33" s="173">
        <v>0</v>
      </c>
      <c r="E33" s="211">
        <f t="shared" si="4"/>
        <v>0</v>
      </c>
      <c r="F33" s="211">
        <f t="shared" si="5"/>
        <v>0</v>
      </c>
      <c r="G33" s="172"/>
      <c r="H33" s="249">
        <v>0</v>
      </c>
      <c r="I33" s="302">
        <f t="shared" si="6"/>
        <v>0</v>
      </c>
    </row>
    <row r="34" spans="1:11">
      <c r="A34" s="153">
        <v>0</v>
      </c>
      <c r="B34" s="227" t="s">
        <v>84</v>
      </c>
      <c r="D34" s="173">
        <v>0</v>
      </c>
      <c r="E34" s="211">
        <f t="shared" si="4"/>
        <v>0</v>
      </c>
      <c r="F34" s="211">
        <f t="shared" si="5"/>
        <v>0</v>
      </c>
      <c r="G34" s="172"/>
      <c r="H34" s="249">
        <v>0</v>
      </c>
      <c r="I34" s="302">
        <f t="shared" si="6"/>
        <v>0</v>
      </c>
    </row>
    <row r="35" spans="1:11">
      <c r="A35" s="153">
        <v>0</v>
      </c>
      <c r="B35" s="227" t="s">
        <v>84</v>
      </c>
      <c r="D35" s="173">
        <v>0</v>
      </c>
      <c r="E35" s="211">
        <f t="shared" si="4"/>
        <v>0</v>
      </c>
      <c r="F35" s="211">
        <f t="shared" si="5"/>
        <v>0</v>
      </c>
      <c r="G35" s="172"/>
      <c r="H35" s="249">
        <v>0</v>
      </c>
      <c r="I35" s="302">
        <f t="shared" si="6"/>
        <v>0</v>
      </c>
    </row>
    <row r="36" spans="1:11">
      <c r="A36" s="153">
        <v>0</v>
      </c>
      <c r="B36" s="227" t="s">
        <v>84</v>
      </c>
      <c r="D36" s="173">
        <v>0</v>
      </c>
      <c r="E36" s="211">
        <f t="shared" si="4"/>
        <v>0</v>
      </c>
      <c r="F36" s="211">
        <f t="shared" si="5"/>
        <v>0</v>
      </c>
      <c r="G36" s="172"/>
      <c r="H36" s="249">
        <v>0</v>
      </c>
      <c r="I36" s="302">
        <f t="shared" si="6"/>
        <v>0</v>
      </c>
    </row>
    <row r="37" spans="1:11">
      <c r="A37" s="153">
        <v>0</v>
      </c>
      <c r="B37" s="227" t="s">
        <v>84</v>
      </c>
      <c r="D37" s="173">
        <v>0</v>
      </c>
      <c r="E37" s="211">
        <f t="shared" si="4"/>
        <v>0</v>
      </c>
      <c r="F37" s="211">
        <f t="shared" si="5"/>
        <v>0</v>
      </c>
      <c r="G37" s="172"/>
      <c r="H37" s="296">
        <v>0</v>
      </c>
      <c r="I37" s="303">
        <f t="shared" si="6"/>
        <v>0</v>
      </c>
    </row>
    <row r="38" spans="1:11">
      <c r="A38" s="153" t="s">
        <v>11</v>
      </c>
      <c r="B38" s="227" t="s">
        <v>11</v>
      </c>
      <c r="D38" s="162" t="s">
        <v>11</v>
      </c>
      <c r="E38" s="162" t="s">
        <v>11</v>
      </c>
      <c r="F38" s="162" t="s">
        <v>11</v>
      </c>
      <c r="G38" s="172"/>
      <c r="H38" s="169"/>
    </row>
    <row r="39" spans="1:11">
      <c r="A39" s="106">
        <v>0</v>
      </c>
      <c r="B39" s="117" t="s">
        <v>85</v>
      </c>
      <c r="D39" s="228">
        <v>0</v>
      </c>
      <c r="E39" s="211">
        <f t="shared" ref="E39" si="7">F39-D39</f>
        <v>0</v>
      </c>
      <c r="F39" s="195">
        <v>0</v>
      </c>
      <c r="G39" s="172"/>
      <c r="H39" s="310">
        <v>0</v>
      </c>
      <c r="I39" s="311">
        <f t="shared" ref="I39" si="8">F39-H39</f>
        <v>0</v>
      </c>
    </row>
    <row r="40" spans="1:11">
      <c r="B40" s="89"/>
      <c r="D40" s="164"/>
      <c r="E40" s="164"/>
      <c r="F40" s="164"/>
      <c r="G40" s="172"/>
      <c r="I40" s="146"/>
    </row>
    <row r="41" spans="1:11">
      <c r="B41" s="97" t="str">
        <f>B28</f>
        <v>Walls</v>
      </c>
      <c r="C41" s="80"/>
      <c r="D41" s="213">
        <f>SUM(D29:D40)</f>
        <v>0</v>
      </c>
      <c r="E41" s="213">
        <f>SUM(E29:E40)</f>
        <v>0</v>
      </c>
      <c r="F41" s="182">
        <f>SUM(F29:F40)</f>
        <v>0</v>
      </c>
      <c r="G41" s="174"/>
      <c r="H41" s="315">
        <f>SUM(H29:H40)</f>
        <v>0</v>
      </c>
      <c r="I41" s="230">
        <f>F41-H41</f>
        <v>0</v>
      </c>
    </row>
    <row r="42" spans="1:11">
      <c r="B42" s="175" t="s">
        <v>11</v>
      </c>
      <c r="C42" s="80"/>
      <c r="D42" s="172"/>
      <c r="E42" s="172"/>
      <c r="F42" s="172"/>
      <c r="G42" s="172"/>
      <c r="J42" s="178" t="s">
        <v>11</v>
      </c>
      <c r="K42" s="176" t="s">
        <v>11</v>
      </c>
    </row>
    <row r="43" spans="1:11">
      <c r="B43" s="175"/>
      <c r="C43" s="80"/>
      <c r="D43" s="172"/>
      <c r="E43" s="172"/>
      <c r="F43" s="172"/>
      <c r="G43" s="172"/>
    </row>
    <row r="44" spans="1:11">
      <c r="B44" s="73" t="s">
        <v>87</v>
      </c>
      <c r="C44" s="80"/>
      <c r="D44" s="172"/>
      <c r="E44" s="172"/>
      <c r="F44" s="335"/>
      <c r="G44" s="172"/>
      <c r="H44" s="293" t="s">
        <v>83</v>
      </c>
      <c r="I44" s="293" t="s">
        <v>77</v>
      </c>
    </row>
    <row r="45" spans="1:11">
      <c r="A45" s="158">
        <v>0</v>
      </c>
      <c r="B45" s="159" t="s">
        <v>84</v>
      </c>
      <c r="C45" s="107" t="s">
        <v>11</v>
      </c>
      <c r="D45" s="170">
        <v>0</v>
      </c>
      <c r="E45" s="210">
        <f>F45-D45</f>
        <v>0</v>
      </c>
      <c r="F45" s="211">
        <f t="shared" ref="F45:F47" si="9">ROUNDUP((D45*fee/5),0)*5</f>
        <v>0</v>
      </c>
      <c r="G45" s="172"/>
      <c r="H45" s="294">
        <v>0</v>
      </c>
      <c r="I45" s="301">
        <f>F45-H45</f>
        <v>0</v>
      </c>
    </row>
    <row r="46" spans="1:11">
      <c r="A46" s="153">
        <v>0</v>
      </c>
      <c r="B46" s="227" t="s">
        <v>84</v>
      </c>
      <c r="D46" s="173">
        <v>0</v>
      </c>
      <c r="E46" s="211">
        <f t="shared" ref="E46:E47" si="10">F46-D46</f>
        <v>0</v>
      </c>
      <c r="F46" s="211">
        <f t="shared" si="9"/>
        <v>0</v>
      </c>
      <c r="G46" s="172"/>
      <c r="H46" s="249">
        <v>0</v>
      </c>
      <c r="I46" s="302">
        <f>F46-H46</f>
        <v>0</v>
      </c>
    </row>
    <row r="47" spans="1:11">
      <c r="A47" s="153">
        <v>0</v>
      </c>
      <c r="B47" s="227" t="s">
        <v>84</v>
      </c>
      <c r="D47" s="173">
        <v>0</v>
      </c>
      <c r="E47" s="211">
        <f t="shared" si="10"/>
        <v>0</v>
      </c>
      <c r="F47" s="211">
        <f t="shared" si="9"/>
        <v>0</v>
      </c>
      <c r="G47" s="172"/>
      <c r="H47" s="249">
        <v>0</v>
      </c>
      <c r="I47" s="302">
        <f t="shared" ref="I47" si="11">F47-H47</f>
        <v>0</v>
      </c>
    </row>
    <row r="48" spans="1:11">
      <c r="B48" s="74"/>
      <c r="D48" s="164"/>
      <c r="E48" s="164"/>
      <c r="F48" s="164"/>
      <c r="G48" s="172"/>
    </row>
    <row r="49" spans="1:11">
      <c r="B49" s="97" t="str">
        <f>B44</f>
        <v>Rigging</v>
      </c>
      <c r="C49" s="80"/>
      <c r="D49" s="212">
        <f>SUM(D45:D48)</f>
        <v>0</v>
      </c>
      <c r="E49" s="212">
        <f>SUM(E45:E48)</f>
        <v>0</v>
      </c>
      <c r="F49" s="179">
        <f>SUM(F45:F48)</f>
        <v>0</v>
      </c>
      <c r="G49" s="174"/>
      <c r="H49" s="315">
        <f>SUM(H45:H48)</f>
        <v>0</v>
      </c>
      <c r="I49" s="230">
        <f>F49-H49</f>
        <v>0</v>
      </c>
      <c r="J49" s="178" t="s">
        <v>11</v>
      </c>
      <c r="K49" s="176" t="s">
        <v>11</v>
      </c>
    </row>
    <row r="50" spans="1:11">
      <c r="B50" s="175"/>
      <c r="C50" s="80"/>
      <c r="D50" s="172"/>
      <c r="E50" s="172"/>
      <c r="F50" s="172"/>
      <c r="G50" s="172"/>
    </row>
    <row r="51" spans="1:11">
      <c r="B51" s="175"/>
      <c r="C51" s="80"/>
      <c r="D51" s="172"/>
      <c r="E51" s="172"/>
      <c r="F51" s="172"/>
      <c r="G51" s="172"/>
    </row>
    <row r="52" spans="1:11">
      <c r="B52" s="73" t="s">
        <v>88</v>
      </c>
      <c r="C52" s="80"/>
      <c r="D52" s="172"/>
      <c r="E52" s="172"/>
      <c r="F52" s="335"/>
      <c r="G52" s="172"/>
      <c r="H52" s="293" t="s">
        <v>83</v>
      </c>
      <c r="I52" s="293" t="s">
        <v>77</v>
      </c>
    </row>
    <row r="53" spans="1:11">
      <c r="A53" s="153">
        <v>0</v>
      </c>
      <c r="B53" s="225" t="s">
        <v>84</v>
      </c>
      <c r="D53" s="170">
        <v>0</v>
      </c>
      <c r="E53" s="210">
        <f>F53-D53</f>
        <v>0</v>
      </c>
      <c r="F53" s="211">
        <f t="shared" ref="F53:F66" si="12">ROUNDUP((D53*fee/5),0)*5</f>
        <v>0</v>
      </c>
      <c r="G53" s="172"/>
      <c r="H53" s="294">
        <v>0</v>
      </c>
      <c r="I53" s="301">
        <f>F53-H53</f>
        <v>0</v>
      </c>
    </row>
    <row r="54" spans="1:11">
      <c r="A54" s="153">
        <v>0</v>
      </c>
      <c r="B54" s="227" t="s">
        <v>84</v>
      </c>
      <c r="D54" s="173">
        <v>0</v>
      </c>
      <c r="E54" s="211">
        <f>F54-D54</f>
        <v>0</v>
      </c>
      <c r="F54" s="211">
        <f t="shared" si="12"/>
        <v>0</v>
      </c>
      <c r="G54" s="172"/>
      <c r="H54" s="249">
        <v>0</v>
      </c>
      <c r="I54" s="302">
        <f>F54-H54</f>
        <v>0</v>
      </c>
    </row>
    <row r="55" spans="1:11">
      <c r="A55" s="153">
        <v>0</v>
      </c>
      <c r="B55" s="227" t="s">
        <v>84</v>
      </c>
      <c r="D55" s="173">
        <v>0</v>
      </c>
      <c r="E55" s="211">
        <f>F55-D55</f>
        <v>0</v>
      </c>
      <c r="F55" s="211">
        <f t="shared" si="12"/>
        <v>0</v>
      </c>
      <c r="G55" s="172"/>
      <c r="H55" s="249">
        <v>0</v>
      </c>
      <c r="I55" s="302">
        <f t="shared" ref="I55:I64" si="13">F55-H55</f>
        <v>0</v>
      </c>
    </row>
    <row r="56" spans="1:11">
      <c r="A56" s="153">
        <v>0</v>
      </c>
      <c r="B56" s="227" t="s">
        <v>84</v>
      </c>
      <c r="D56" s="173">
        <v>0</v>
      </c>
      <c r="E56" s="211">
        <f t="shared" ref="E56:E66" si="14">F56-D56</f>
        <v>0</v>
      </c>
      <c r="F56" s="211">
        <f t="shared" si="12"/>
        <v>0</v>
      </c>
      <c r="G56" s="172"/>
      <c r="H56" s="249">
        <v>0</v>
      </c>
      <c r="I56" s="302">
        <f t="shared" si="13"/>
        <v>0</v>
      </c>
    </row>
    <row r="57" spans="1:11">
      <c r="A57" s="153">
        <v>0</v>
      </c>
      <c r="B57" s="227" t="s">
        <v>84</v>
      </c>
      <c r="D57" s="173">
        <v>0</v>
      </c>
      <c r="E57" s="211">
        <f t="shared" si="14"/>
        <v>0</v>
      </c>
      <c r="F57" s="211">
        <f t="shared" si="12"/>
        <v>0</v>
      </c>
      <c r="G57" s="172"/>
      <c r="H57" s="249">
        <v>0</v>
      </c>
      <c r="I57" s="302">
        <f t="shared" si="13"/>
        <v>0</v>
      </c>
    </row>
    <row r="58" spans="1:11">
      <c r="A58" s="153">
        <v>0</v>
      </c>
      <c r="B58" s="227" t="s">
        <v>84</v>
      </c>
      <c r="D58" s="173">
        <v>0</v>
      </c>
      <c r="E58" s="211">
        <f t="shared" si="14"/>
        <v>0</v>
      </c>
      <c r="F58" s="211">
        <f t="shared" si="12"/>
        <v>0</v>
      </c>
      <c r="G58" s="172"/>
      <c r="H58" s="249">
        <v>0</v>
      </c>
      <c r="I58" s="302">
        <f t="shared" si="13"/>
        <v>0</v>
      </c>
    </row>
    <row r="59" spans="1:11">
      <c r="A59" s="153">
        <v>0</v>
      </c>
      <c r="B59" s="227" t="s">
        <v>84</v>
      </c>
      <c r="D59" s="173">
        <v>0</v>
      </c>
      <c r="E59" s="211">
        <f t="shared" si="14"/>
        <v>0</v>
      </c>
      <c r="F59" s="211">
        <f t="shared" si="12"/>
        <v>0</v>
      </c>
      <c r="G59" s="172"/>
      <c r="H59" s="249">
        <v>0</v>
      </c>
      <c r="I59" s="302">
        <f t="shared" si="13"/>
        <v>0</v>
      </c>
    </row>
    <row r="60" spans="1:11">
      <c r="A60" s="153">
        <v>0</v>
      </c>
      <c r="B60" s="227" t="s">
        <v>84</v>
      </c>
      <c r="D60" s="173">
        <v>0</v>
      </c>
      <c r="E60" s="211">
        <f t="shared" si="14"/>
        <v>0</v>
      </c>
      <c r="F60" s="211">
        <f t="shared" si="12"/>
        <v>0</v>
      </c>
      <c r="G60" s="172"/>
      <c r="H60" s="249">
        <v>0</v>
      </c>
      <c r="I60" s="302">
        <f t="shared" si="13"/>
        <v>0</v>
      </c>
    </row>
    <row r="61" spans="1:11">
      <c r="A61" s="153">
        <v>0</v>
      </c>
      <c r="B61" s="227" t="s">
        <v>84</v>
      </c>
      <c r="D61" s="173">
        <v>0</v>
      </c>
      <c r="E61" s="211">
        <f t="shared" si="14"/>
        <v>0</v>
      </c>
      <c r="F61" s="211">
        <f t="shared" si="12"/>
        <v>0</v>
      </c>
      <c r="G61" s="172"/>
      <c r="H61" s="249">
        <v>0</v>
      </c>
      <c r="I61" s="302">
        <f t="shared" si="13"/>
        <v>0</v>
      </c>
    </row>
    <row r="62" spans="1:11">
      <c r="A62" s="153">
        <v>0</v>
      </c>
      <c r="B62" s="227" t="s">
        <v>84</v>
      </c>
      <c r="D62" s="173">
        <v>0</v>
      </c>
      <c r="E62" s="211">
        <f t="shared" si="14"/>
        <v>0</v>
      </c>
      <c r="F62" s="211">
        <f t="shared" si="12"/>
        <v>0</v>
      </c>
      <c r="G62" s="172"/>
      <c r="H62" s="249">
        <v>0</v>
      </c>
      <c r="I62" s="302">
        <f t="shared" si="13"/>
        <v>0</v>
      </c>
    </row>
    <row r="63" spans="1:11">
      <c r="A63" s="153">
        <v>0</v>
      </c>
      <c r="B63" s="227" t="s">
        <v>84</v>
      </c>
      <c r="D63" s="173">
        <v>0</v>
      </c>
      <c r="E63" s="211">
        <f t="shared" si="14"/>
        <v>0</v>
      </c>
      <c r="F63" s="211">
        <f t="shared" si="12"/>
        <v>0</v>
      </c>
      <c r="G63" s="172"/>
      <c r="H63" s="249">
        <v>0</v>
      </c>
      <c r="I63" s="302">
        <f t="shared" si="13"/>
        <v>0</v>
      </c>
    </row>
    <row r="64" spans="1:11">
      <c r="A64" s="153">
        <v>0</v>
      </c>
      <c r="B64" s="227" t="s">
        <v>84</v>
      </c>
      <c r="D64" s="173">
        <v>0</v>
      </c>
      <c r="E64" s="211">
        <f t="shared" si="14"/>
        <v>0</v>
      </c>
      <c r="F64" s="211">
        <f t="shared" si="12"/>
        <v>0</v>
      </c>
      <c r="G64" s="172"/>
      <c r="H64" s="249">
        <v>0</v>
      </c>
      <c r="I64" s="302">
        <f t="shared" si="13"/>
        <v>0</v>
      </c>
    </row>
    <row r="65" spans="1:11">
      <c r="A65" s="153">
        <v>0</v>
      </c>
      <c r="B65" s="227" t="s">
        <v>84</v>
      </c>
      <c r="D65" s="173">
        <v>0</v>
      </c>
      <c r="E65" s="211">
        <f t="shared" si="14"/>
        <v>0</v>
      </c>
      <c r="F65" s="211">
        <f t="shared" si="12"/>
        <v>0</v>
      </c>
      <c r="G65" s="172"/>
      <c r="H65" s="249">
        <v>0</v>
      </c>
      <c r="I65" s="302">
        <f>F65-H65</f>
        <v>0</v>
      </c>
    </row>
    <row r="66" spans="1:11">
      <c r="A66" s="153">
        <v>0</v>
      </c>
      <c r="B66" s="227" t="s">
        <v>84</v>
      </c>
      <c r="D66" s="173">
        <v>0</v>
      </c>
      <c r="E66" s="211">
        <f t="shared" si="14"/>
        <v>0</v>
      </c>
      <c r="F66" s="211">
        <f t="shared" si="12"/>
        <v>0</v>
      </c>
      <c r="G66" s="172"/>
      <c r="H66" s="249">
        <v>0</v>
      </c>
      <c r="I66" s="302">
        <f t="shared" ref="I66" si="15">F66-H66</f>
        <v>0</v>
      </c>
    </row>
    <row r="67" spans="1:11">
      <c r="B67" s="89"/>
      <c r="D67" s="164"/>
      <c r="E67" s="164"/>
      <c r="F67" s="164"/>
      <c r="G67" s="172"/>
    </row>
    <row r="68" spans="1:11">
      <c r="B68" s="97" t="str">
        <f>B52</f>
        <v>Pantry</v>
      </c>
      <c r="C68" s="80"/>
      <c r="D68" s="212">
        <f>SUM(D53:D66)</f>
        <v>0</v>
      </c>
      <c r="E68" s="212">
        <f>SUM(E53:E66)</f>
        <v>0</v>
      </c>
      <c r="F68" s="179">
        <f>SUM(F53:F66)</f>
        <v>0</v>
      </c>
      <c r="G68" s="174"/>
      <c r="H68" s="315">
        <f>SUM(H53:H67)</f>
        <v>0</v>
      </c>
      <c r="I68" s="230">
        <f>F68-H68</f>
        <v>0</v>
      </c>
    </row>
    <row r="69" spans="1:11">
      <c r="B69" s="175" t="s">
        <v>11</v>
      </c>
      <c r="C69" s="80"/>
      <c r="D69" s="172"/>
      <c r="E69" s="172"/>
      <c r="F69" s="172"/>
      <c r="G69" s="172"/>
      <c r="J69" s="178" t="s">
        <v>11</v>
      </c>
      <c r="K69" s="176" t="s">
        <v>11</v>
      </c>
    </row>
    <row r="70" spans="1:11">
      <c r="B70" s="175"/>
      <c r="C70" s="80"/>
      <c r="D70" s="172"/>
      <c r="E70" s="172"/>
      <c r="F70" s="172"/>
      <c r="G70" s="172"/>
    </row>
    <row r="71" spans="1:11">
      <c r="B71" s="73" t="s">
        <v>89</v>
      </c>
      <c r="C71" s="80"/>
      <c r="D71" s="172"/>
      <c r="E71" s="172"/>
      <c r="F71" s="335"/>
      <c r="G71" s="172"/>
      <c r="H71" s="293" t="s">
        <v>83</v>
      </c>
      <c r="I71" s="293" t="s">
        <v>77</v>
      </c>
    </row>
    <row r="72" spans="1:11">
      <c r="A72" s="106">
        <v>0</v>
      </c>
      <c r="B72" s="227" t="s">
        <v>84</v>
      </c>
      <c r="D72" s="170">
        <v>0</v>
      </c>
      <c r="E72" s="210">
        <f t="shared" ref="E72:E83" si="16">F72-D72</f>
        <v>0</v>
      </c>
      <c r="F72" s="211">
        <f t="shared" ref="F72:F83" si="17">ROUNDUP((D72*fee/5),0)*5</f>
        <v>0</v>
      </c>
      <c r="G72" s="172"/>
      <c r="H72" s="294">
        <v>0</v>
      </c>
      <c r="I72" s="301">
        <f>F72-H72</f>
        <v>0</v>
      </c>
    </row>
    <row r="73" spans="1:11">
      <c r="A73" s="106">
        <v>0</v>
      </c>
      <c r="B73" s="227" t="s">
        <v>84</v>
      </c>
      <c r="D73" s="173">
        <v>0</v>
      </c>
      <c r="E73" s="211">
        <f t="shared" si="16"/>
        <v>0</v>
      </c>
      <c r="F73" s="211">
        <f t="shared" si="17"/>
        <v>0</v>
      </c>
      <c r="G73" s="172"/>
      <c r="H73" s="249">
        <v>0</v>
      </c>
      <c r="I73" s="302">
        <f>F73-H73</f>
        <v>0</v>
      </c>
    </row>
    <row r="74" spans="1:11">
      <c r="A74" s="106">
        <v>0</v>
      </c>
      <c r="B74" s="227" t="s">
        <v>84</v>
      </c>
      <c r="D74" s="173">
        <v>0</v>
      </c>
      <c r="E74" s="211">
        <f t="shared" si="16"/>
        <v>0</v>
      </c>
      <c r="F74" s="211">
        <f t="shared" si="17"/>
        <v>0</v>
      </c>
      <c r="G74" s="172"/>
      <c r="H74" s="249">
        <v>0</v>
      </c>
      <c r="I74" s="302">
        <f t="shared" ref="I74:I77" si="18">F74-H74</f>
        <v>0</v>
      </c>
    </row>
    <row r="75" spans="1:11">
      <c r="A75" s="106">
        <v>0</v>
      </c>
      <c r="B75" s="227" t="s">
        <v>84</v>
      </c>
      <c r="D75" s="173">
        <v>0</v>
      </c>
      <c r="E75" s="211">
        <f t="shared" si="16"/>
        <v>0</v>
      </c>
      <c r="F75" s="211">
        <f t="shared" si="17"/>
        <v>0</v>
      </c>
      <c r="G75" s="172"/>
      <c r="H75" s="249">
        <v>0</v>
      </c>
      <c r="I75" s="302">
        <f t="shared" si="18"/>
        <v>0</v>
      </c>
    </row>
    <row r="76" spans="1:11">
      <c r="A76" s="106">
        <v>0</v>
      </c>
      <c r="B76" s="227" t="s">
        <v>84</v>
      </c>
      <c r="D76" s="173">
        <v>0</v>
      </c>
      <c r="E76" s="211">
        <f t="shared" si="16"/>
        <v>0</v>
      </c>
      <c r="F76" s="211">
        <f t="shared" si="17"/>
        <v>0</v>
      </c>
      <c r="G76" s="172"/>
      <c r="H76" s="249">
        <v>0</v>
      </c>
      <c r="I76" s="302">
        <f t="shared" si="18"/>
        <v>0</v>
      </c>
    </row>
    <row r="77" spans="1:11">
      <c r="A77" s="106">
        <v>0</v>
      </c>
      <c r="B77" s="227" t="s">
        <v>84</v>
      </c>
      <c r="D77" s="173">
        <v>0</v>
      </c>
      <c r="E77" s="211">
        <f t="shared" si="16"/>
        <v>0</v>
      </c>
      <c r="F77" s="211">
        <f t="shared" si="17"/>
        <v>0</v>
      </c>
      <c r="G77" s="172"/>
      <c r="H77" s="249">
        <v>0</v>
      </c>
      <c r="I77" s="302">
        <f t="shared" si="18"/>
        <v>0</v>
      </c>
    </row>
    <row r="78" spans="1:11">
      <c r="A78" s="106">
        <v>0</v>
      </c>
      <c r="B78" s="227" t="s">
        <v>84</v>
      </c>
      <c r="D78" s="173">
        <v>0</v>
      </c>
      <c r="E78" s="211">
        <f t="shared" si="16"/>
        <v>0</v>
      </c>
      <c r="F78" s="211">
        <f t="shared" si="17"/>
        <v>0</v>
      </c>
      <c r="G78" s="172"/>
      <c r="H78" s="249">
        <v>0</v>
      </c>
      <c r="I78" s="302">
        <f>F78-H78</f>
        <v>0</v>
      </c>
    </row>
    <row r="79" spans="1:11">
      <c r="A79" s="106">
        <v>0</v>
      </c>
      <c r="B79" s="227" t="s">
        <v>84</v>
      </c>
      <c r="D79" s="173">
        <v>0</v>
      </c>
      <c r="E79" s="211">
        <f t="shared" si="16"/>
        <v>0</v>
      </c>
      <c r="F79" s="211">
        <f t="shared" si="17"/>
        <v>0</v>
      </c>
      <c r="G79" s="172"/>
      <c r="H79" s="249">
        <v>0</v>
      </c>
      <c r="I79" s="302">
        <f t="shared" ref="I79:I83" si="19">F79-H79</f>
        <v>0</v>
      </c>
    </row>
    <row r="80" spans="1:11">
      <c r="A80" s="106">
        <v>0</v>
      </c>
      <c r="B80" s="227" t="s">
        <v>84</v>
      </c>
      <c r="D80" s="173">
        <v>0</v>
      </c>
      <c r="E80" s="211">
        <f t="shared" si="16"/>
        <v>0</v>
      </c>
      <c r="F80" s="211">
        <f t="shared" si="17"/>
        <v>0</v>
      </c>
      <c r="G80" s="172"/>
      <c r="H80" s="249">
        <v>0</v>
      </c>
      <c r="I80" s="302">
        <f t="shared" si="19"/>
        <v>0</v>
      </c>
    </row>
    <row r="81" spans="1:12">
      <c r="A81" s="106">
        <v>0</v>
      </c>
      <c r="B81" s="227" t="s">
        <v>84</v>
      </c>
      <c r="D81" s="173">
        <v>0</v>
      </c>
      <c r="E81" s="211">
        <f t="shared" si="16"/>
        <v>0</v>
      </c>
      <c r="F81" s="211">
        <f t="shared" si="17"/>
        <v>0</v>
      </c>
      <c r="G81" s="172"/>
      <c r="H81" s="249">
        <v>0</v>
      </c>
      <c r="I81" s="302">
        <f t="shared" si="19"/>
        <v>0</v>
      </c>
    </row>
    <row r="82" spans="1:12">
      <c r="A82" s="106">
        <v>0</v>
      </c>
      <c r="B82" s="227" t="s">
        <v>84</v>
      </c>
      <c r="D82" s="173">
        <v>0</v>
      </c>
      <c r="E82" s="211">
        <f t="shared" si="16"/>
        <v>0</v>
      </c>
      <c r="F82" s="211">
        <f t="shared" si="17"/>
        <v>0</v>
      </c>
      <c r="G82" s="172"/>
      <c r="H82" s="249">
        <v>0</v>
      </c>
      <c r="I82" s="302">
        <f t="shared" si="19"/>
        <v>0</v>
      </c>
    </row>
    <row r="83" spans="1:12">
      <c r="A83" s="106">
        <v>0</v>
      </c>
      <c r="B83" s="227" t="s">
        <v>84</v>
      </c>
      <c r="D83" s="173">
        <v>0</v>
      </c>
      <c r="E83" s="211">
        <f t="shared" si="16"/>
        <v>0</v>
      </c>
      <c r="F83" s="211">
        <f t="shared" si="17"/>
        <v>0</v>
      </c>
      <c r="G83" s="172"/>
      <c r="H83" s="249">
        <v>0</v>
      </c>
      <c r="I83" s="302">
        <f t="shared" si="19"/>
        <v>0</v>
      </c>
    </row>
    <row r="84" spans="1:12">
      <c r="B84" s="89"/>
      <c r="D84" s="164"/>
      <c r="E84" s="164"/>
      <c r="F84" s="164"/>
      <c r="G84" s="172"/>
    </row>
    <row r="85" spans="1:12">
      <c r="B85" s="97" t="str">
        <f>B71</f>
        <v>Furniture</v>
      </c>
      <c r="C85" s="80"/>
      <c r="D85" s="212">
        <f>SUM(D72:D84)</f>
        <v>0</v>
      </c>
      <c r="E85" s="212">
        <f>SUM(E72:E84)</f>
        <v>0</v>
      </c>
      <c r="F85" s="179">
        <f>SUM(F72:F84)</f>
        <v>0</v>
      </c>
      <c r="G85" s="174"/>
      <c r="H85" s="315">
        <f>SUM(H72:H84)</f>
        <v>0</v>
      </c>
      <c r="I85" s="230">
        <f>F85-H85</f>
        <v>0</v>
      </c>
    </row>
    <row r="86" spans="1:12">
      <c r="B86" s="175" t="s">
        <v>11</v>
      </c>
      <c r="C86" s="80"/>
      <c r="D86" s="172"/>
      <c r="E86" s="172"/>
      <c r="F86" s="172"/>
      <c r="G86" s="172"/>
      <c r="J86" s="178" t="s">
        <v>11</v>
      </c>
      <c r="K86" s="176" t="s">
        <v>11</v>
      </c>
    </row>
    <row r="87" spans="1:12">
      <c r="B87" s="175"/>
      <c r="C87" s="80"/>
      <c r="D87" s="172"/>
      <c r="E87" s="172"/>
      <c r="F87" s="172"/>
      <c r="G87" s="172"/>
      <c r="J87" s="178"/>
      <c r="K87" s="176"/>
    </row>
    <row r="88" spans="1:12">
      <c r="B88" s="73" t="s">
        <v>90</v>
      </c>
      <c r="C88" s="80"/>
      <c r="D88" s="172"/>
      <c r="E88" s="172"/>
      <c r="F88" s="335"/>
      <c r="G88" s="172"/>
      <c r="H88" s="293" t="s">
        <v>83</v>
      </c>
      <c r="I88" s="293" t="s">
        <v>77</v>
      </c>
    </row>
    <row r="89" spans="1:12" s="107" customFormat="1">
      <c r="A89" s="158">
        <v>0</v>
      </c>
      <c r="B89" s="270" t="s">
        <v>84</v>
      </c>
      <c r="D89" s="108">
        <v>0</v>
      </c>
      <c r="E89" s="214">
        <f>F89-D89</f>
        <v>0</v>
      </c>
      <c r="F89" s="211">
        <f t="shared" ref="F89:F92" si="20">ROUNDUP((D89*fee/5),0)*5</f>
        <v>0</v>
      </c>
      <c r="G89" s="172"/>
      <c r="H89" s="294">
        <v>0</v>
      </c>
      <c r="I89" s="301">
        <f>F89-H89</f>
        <v>0</v>
      </c>
      <c r="L89" s="146"/>
    </row>
    <row r="90" spans="1:12" s="107" customFormat="1">
      <c r="A90" s="106">
        <v>0</v>
      </c>
      <c r="B90" s="271" t="s">
        <v>84</v>
      </c>
      <c r="D90" s="173">
        <v>0</v>
      </c>
      <c r="E90" s="215">
        <f>F90-D90</f>
        <v>0</v>
      </c>
      <c r="F90" s="211">
        <f t="shared" si="20"/>
        <v>0</v>
      </c>
      <c r="G90" s="172"/>
      <c r="H90" s="249">
        <v>0</v>
      </c>
      <c r="I90" s="302">
        <f>F90-H90</f>
        <v>0</v>
      </c>
      <c r="L90" s="146"/>
    </row>
    <row r="91" spans="1:12" s="107" customFormat="1">
      <c r="A91" s="106">
        <v>0</v>
      </c>
      <c r="B91" s="271" t="s">
        <v>84</v>
      </c>
      <c r="D91" s="173">
        <v>0</v>
      </c>
      <c r="E91" s="215">
        <f>F91-D91</f>
        <v>0</v>
      </c>
      <c r="F91" s="211">
        <f t="shared" si="20"/>
        <v>0</v>
      </c>
      <c r="G91" s="172"/>
      <c r="H91" s="249">
        <v>0</v>
      </c>
      <c r="I91" s="302">
        <f t="shared" ref="I91:I92" si="21">F91-H91</f>
        <v>0</v>
      </c>
      <c r="L91" s="146"/>
    </row>
    <row r="92" spans="1:12" s="107" customFormat="1">
      <c r="A92" s="106">
        <v>0</v>
      </c>
      <c r="B92" s="74" t="s">
        <v>84</v>
      </c>
      <c r="D92" s="173">
        <v>0</v>
      </c>
      <c r="E92" s="215">
        <f>F92-D92</f>
        <v>0</v>
      </c>
      <c r="F92" s="211">
        <f t="shared" si="20"/>
        <v>0</v>
      </c>
      <c r="G92" s="172"/>
      <c r="H92" s="249">
        <v>0</v>
      </c>
      <c r="I92" s="302">
        <f t="shared" si="21"/>
        <v>0</v>
      </c>
      <c r="L92" s="146"/>
    </row>
    <row r="93" spans="1:12" s="107" customFormat="1">
      <c r="A93" s="106" t="s">
        <v>11</v>
      </c>
      <c r="B93" s="74"/>
      <c r="D93" s="164"/>
      <c r="E93" s="231"/>
      <c r="F93" s="164"/>
      <c r="G93" s="172"/>
      <c r="L93" s="146"/>
    </row>
    <row r="94" spans="1:12" s="107" customFormat="1">
      <c r="A94" s="106"/>
      <c r="B94" s="97" t="str">
        <f>B88</f>
        <v>AV</v>
      </c>
      <c r="C94" s="80"/>
      <c r="D94" s="213">
        <f>SUM(D89:D93)</f>
        <v>0</v>
      </c>
      <c r="E94" s="212">
        <f>SUM(E89:E93)</f>
        <v>0</v>
      </c>
      <c r="F94" s="179">
        <f>SUM(F89:F93)</f>
        <v>0</v>
      </c>
      <c r="G94" s="174"/>
      <c r="H94" s="315">
        <f>SUM(H89:H93)</f>
        <v>0</v>
      </c>
      <c r="I94" s="230">
        <f>F94-H94</f>
        <v>0</v>
      </c>
      <c r="L94" s="146"/>
    </row>
    <row r="95" spans="1:12" s="107" customFormat="1">
      <c r="A95" s="106"/>
      <c r="B95" s="175"/>
      <c r="C95" s="80"/>
      <c r="D95" s="172"/>
      <c r="E95" s="172"/>
      <c r="F95" s="172"/>
      <c r="G95" s="172"/>
      <c r="L95" s="146"/>
    </row>
    <row r="96" spans="1:12" s="107" customFormat="1">
      <c r="A96" s="106"/>
      <c r="B96" s="175"/>
      <c r="C96" s="80"/>
      <c r="D96" s="172"/>
      <c r="E96" s="172"/>
      <c r="F96" s="172"/>
      <c r="G96" s="172"/>
      <c r="L96" s="146"/>
    </row>
    <row r="97" spans="1:12" s="107" customFormat="1">
      <c r="A97" s="106"/>
      <c r="B97" s="73" t="s">
        <v>91</v>
      </c>
      <c r="C97" s="80"/>
      <c r="D97" s="172"/>
      <c r="E97" s="172"/>
      <c r="F97" s="335"/>
      <c r="G97" s="172"/>
      <c r="H97" s="293" t="s">
        <v>83</v>
      </c>
      <c r="I97" s="293" t="s">
        <v>77</v>
      </c>
      <c r="L97" s="146"/>
    </row>
    <row r="98" spans="1:12" s="107" customFormat="1">
      <c r="A98" s="153">
        <v>0</v>
      </c>
      <c r="B98" s="225" t="s">
        <v>84</v>
      </c>
      <c r="C98" s="80"/>
      <c r="D98" s="170">
        <v>0</v>
      </c>
      <c r="E98" s="210">
        <f>F98-D98</f>
        <v>0</v>
      </c>
      <c r="F98" s="211">
        <f t="shared" ref="F98:F104" si="22">ROUNDUP((D98*fee/5),0)*5</f>
        <v>0</v>
      </c>
      <c r="G98" s="172"/>
      <c r="H98" s="294">
        <v>0</v>
      </c>
      <c r="I98" s="301">
        <f>F98-H98</f>
        <v>0</v>
      </c>
      <c r="L98" s="146"/>
    </row>
    <row r="99" spans="1:12" s="107" customFormat="1">
      <c r="A99" s="153">
        <v>0</v>
      </c>
      <c r="B99" s="227" t="s">
        <v>84</v>
      </c>
      <c r="C99" s="80"/>
      <c r="D99" s="173">
        <v>0</v>
      </c>
      <c r="E99" s="211">
        <f t="shared" ref="E99:E104" si="23">F99-D99</f>
        <v>0</v>
      </c>
      <c r="F99" s="211">
        <f t="shared" si="22"/>
        <v>0</v>
      </c>
      <c r="G99" s="172"/>
      <c r="H99" s="249">
        <v>0</v>
      </c>
      <c r="I99" s="302">
        <f>F99-H99</f>
        <v>0</v>
      </c>
      <c r="L99" s="146"/>
    </row>
    <row r="100" spans="1:12" s="107" customFormat="1">
      <c r="A100" s="153">
        <v>0</v>
      </c>
      <c r="B100" s="227" t="s">
        <v>84</v>
      </c>
      <c r="C100" s="80"/>
      <c r="D100" s="173">
        <v>0</v>
      </c>
      <c r="E100" s="211">
        <f t="shared" si="23"/>
        <v>0</v>
      </c>
      <c r="F100" s="211">
        <f t="shared" si="22"/>
        <v>0</v>
      </c>
      <c r="G100" s="172"/>
      <c r="H100" s="249">
        <v>0</v>
      </c>
      <c r="I100" s="302">
        <f t="shared" ref="I100:I101" si="24">F100-H100</f>
        <v>0</v>
      </c>
      <c r="L100" s="146"/>
    </row>
    <row r="101" spans="1:12" s="107" customFormat="1">
      <c r="A101" s="153">
        <v>0</v>
      </c>
      <c r="B101" s="227" t="s">
        <v>84</v>
      </c>
      <c r="C101" s="80"/>
      <c r="D101" s="173">
        <v>0</v>
      </c>
      <c r="E101" s="211">
        <f t="shared" si="23"/>
        <v>0</v>
      </c>
      <c r="F101" s="211">
        <f t="shared" si="22"/>
        <v>0</v>
      </c>
      <c r="G101" s="172"/>
      <c r="H101" s="195">
        <v>0</v>
      </c>
      <c r="I101" s="304">
        <f t="shared" si="24"/>
        <v>0</v>
      </c>
      <c r="L101" s="146"/>
    </row>
    <row r="102" spans="1:12" s="107" customFormat="1">
      <c r="A102" s="153">
        <v>0</v>
      </c>
      <c r="B102" s="227" t="s">
        <v>84</v>
      </c>
      <c r="C102" s="80"/>
      <c r="D102" s="173">
        <v>0</v>
      </c>
      <c r="E102" s="211">
        <f t="shared" si="23"/>
        <v>0</v>
      </c>
      <c r="F102" s="211">
        <f t="shared" si="22"/>
        <v>0</v>
      </c>
      <c r="G102" s="172"/>
      <c r="H102" s="249">
        <v>0</v>
      </c>
      <c r="I102" s="302">
        <f>F102-H102</f>
        <v>0</v>
      </c>
      <c r="L102" s="146"/>
    </row>
    <row r="103" spans="1:12" s="107" customFormat="1">
      <c r="A103" s="153">
        <v>0</v>
      </c>
      <c r="B103" s="227" t="s">
        <v>84</v>
      </c>
      <c r="C103" s="80"/>
      <c r="D103" s="173">
        <v>0</v>
      </c>
      <c r="E103" s="211">
        <f t="shared" si="23"/>
        <v>0</v>
      </c>
      <c r="F103" s="211">
        <f t="shared" si="22"/>
        <v>0</v>
      </c>
      <c r="G103" s="172"/>
      <c r="H103" s="249">
        <v>0</v>
      </c>
      <c r="I103" s="302">
        <f>F103-H103</f>
        <v>0</v>
      </c>
      <c r="L103" s="146"/>
    </row>
    <row r="104" spans="1:12" s="107" customFormat="1">
      <c r="A104" s="106">
        <v>0</v>
      </c>
      <c r="B104" s="74" t="s">
        <v>84</v>
      </c>
      <c r="C104" s="80"/>
      <c r="D104" s="173">
        <v>0</v>
      </c>
      <c r="E104" s="211">
        <f t="shared" si="23"/>
        <v>0</v>
      </c>
      <c r="F104" s="211">
        <f t="shared" si="22"/>
        <v>0</v>
      </c>
      <c r="G104" s="172"/>
      <c r="H104" s="249">
        <v>0</v>
      </c>
      <c r="I104" s="302">
        <f t="shared" ref="I104" si="25">F104-H104</f>
        <v>0</v>
      </c>
      <c r="L104" s="146"/>
    </row>
    <row r="105" spans="1:12" s="107" customFormat="1">
      <c r="A105" s="232"/>
      <c r="B105" s="233"/>
      <c r="C105" s="80"/>
      <c r="D105" s="164"/>
      <c r="E105" s="164"/>
      <c r="F105" s="164"/>
      <c r="G105" s="172"/>
      <c r="L105" s="146"/>
    </row>
    <row r="106" spans="1:12" s="107" customFormat="1">
      <c r="A106" s="106"/>
      <c r="B106" s="97" t="str">
        <f>B97</f>
        <v>Display</v>
      </c>
      <c r="C106" s="80"/>
      <c r="D106" s="212">
        <f>SUM(D98:D105)</f>
        <v>0</v>
      </c>
      <c r="E106" s="212">
        <f>SUM(E98:E105)</f>
        <v>0</v>
      </c>
      <c r="F106" s="179">
        <f>SUM(F98:F105)</f>
        <v>0</v>
      </c>
      <c r="G106" s="174"/>
      <c r="H106" s="315">
        <f>SUM(H98:H105)</f>
        <v>0</v>
      </c>
      <c r="I106" s="230">
        <f>F106-H106</f>
        <v>0</v>
      </c>
      <c r="L106" s="146"/>
    </row>
    <row r="107" spans="1:12" s="107" customFormat="1">
      <c r="A107" s="106"/>
      <c r="B107" s="175"/>
      <c r="C107" s="80"/>
      <c r="D107" s="172"/>
      <c r="E107" s="172"/>
      <c r="F107" s="172"/>
      <c r="G107" s="172"/>
      <c r="L107" s="146"/>
    </row>
    <row r="108" spans="1:12" s="107" customFormat="1">
      <c r="A108" s="106"/>
      <c r="B108" s="175"/>
      <c r="C108" s="80"/>
      <c r="D108" s="172"/>
      <c r="E108" s="172"/>
      <c r="F108" s="172"/>
      <c r="G108" s="172"/>
      <c r="L108" s="146"/>
    </row>
    <row r="109" spans="1:12">
      <c r="B109" s="73" t="s">
        <v>92</v>
      </c>
      <c r="C109" s="80"/>
      <c r="D109" s="172"/>
      <c r="E109" s="172"/>
      <c r="F109" s="335"/>
      <c r="G109" s="172"/>
      <c r="H109" s="293" t="s">
        <v>83</v>
      </c>
      <c r="I109" s="293" t="s">
        <v>77</v>
      </c>
      <c r="J109" s="153"/>
      <c r="K109" s="153"/>
      <c r="L109" s="153"/>
    </row>
    <row r="110" spans="1:12">
      <c r="A110" s="153">
        <v>0</v>
      </c>
      <c r="B110" s="87" t="s">
        <v>84</v>
      </c>
      <c r="D110" s="181">
        <v>0</v>
      </c>
      <c r="E110" s="210">
        <f>F110-D110</f>
        <v>0</v>
      </c>
      <c r="F110" s="211">
        <f t="shared" ref="F110:F119" si="26">ROUNDUP((D110*fee/5),0)*5</f>
        <v>0</v>
      </c>
      <c r="G110" s="172"/>
      <c r="H110" s="294">
        <v>0</v>
      </c>
      <c r="I110" s="301">
        <f>F110-H110</f>
        <v>0</v>
      </c>
      <c r="J110" s="153"/>
      <c r="K110" s="153"/>
      <c r="L110" s="153"/>
    </row>
    <row r="111" spans="1:12">
      <c r="A111" s="153">
        <v>0</v>
      </c>
      <c r="B111" s="74" t="s">
        <v>84</v>
      </c>
      <c r="D111" s="180">
        <v>0</v>
      </c>
      <c r="E111" s="211">
        <f>F111-D111</f>
        <v>0</v>
      </c>
      <c r="F111" s="211">
        <f t="shared" si="26"/>
        <v>0</v>
      </c>
      <c r="G111" s="172"/>
      <c r="H111" s="249">
        <v>0</v>
      </c>
      <c r="I111" s="302">
        <f>F111-H111</f>
        <v>0</v>
      </c>
      <c r="J111" s="153"/>
      <c r="K111" s="153"/>
      <c r="L111" s="153"/>
    </row>
    <row r="112" spans="1:12">
      <c r="A112" s="153">
        <v>0</v>
      </c>
      <c r="B112" s="74" t="s">
        <v>84</v>
      </c>
      <c r="D112" s="180">
        <v>0</v>
      </c>
      <c r="E112" s="211">
        <f t="shared" ref="E112:E119" si="27">F112-D112</f>
        <v>0</v>
      </c>
      <c r="F112" s="211">
        <f t="shared" si="26"/>
        <v>0</v>
      </c>
      <c r="G112" s="172"/>
      <c r="H112" s="249">
        <v>0</v>
      </c>
      <c r="I112" s="302">
        <f t="shared" ref="I112:I113" si="28">F112-H112</f>
        <v>0</v>
      </c>
      <c r="J112" s="153"/>
      <c r="K112" s="153"/>
      <c r="L112" s="153"/>
    </row>
    <row r="113" spans="1:12">
      <c r="A113" s="153">
        <v>0</v>
      </c>
      <c r="B113" s="74" t="s">
        <v>84</v>
      </c>
      <c r="D113" s="180">
        <v>0</v>
      </c>
      <c r="E113" s="211">
        <f t="shared" si="27"/>
        <v>0</v>
      </c>
      <c r="F113" s="211">
        <f t="shared" si="26"/>
        <v>0</v>
      </c>
      <c r="G113" s="172"/>
      <c r="H113" s="195">
        <v>0</v>
      </c>
      <c r="I113" s="304">
        <f t="shared" si="28"/>
        <v>0</v>
      </c>
      <c r="J113" s="153"/>
      <c r="K113" s="153"/>
      <c r="L113" s="153"/>
    </row>
    <row r="114" spans="1:12">
      <c r="A114" s="153">
        <v>0</v>
      </c>
      <c r="B114" s="74" t="s">
        <v>84</v>
      </c>
      <c r="D114" s="180">
        <v>0</v>
      </c>
      <c r="E114" s="211">
        <f t="shared" si="27"/>
        <v>0</v>
      </c>
      <c r="F114" s="211">
        <f t="shared" si="26"/>
        <v>0</v>
      </c>
      <c r="G114" s="172"/>
      <c r="H114" s="195">
        <v>0</v>
      </c>
      <c r="I114" s="304">
        <f>F114-H114</f>
        <v>0</v>
      </c>
      <c r="J114" s="153"/>
      <c r="K114" s="153"/>
      <c r="L114" s="153"/>
    </row>
    <row r="115" spans="1:12">
      <c r="A115" s="153">
        <v>0</v>
      </c>
      <c r="B115" s="74" t="s">
        <v>84</v>
      </c>
      <c r="D115" s="180">
        <v>0</v>
      </c>
      <c r="E115" s="211">
        <f t="shared" si="27"/>
        <v>0</v>
      </c>
      <c r="F115" s="211">
        <f t="shared" si="26"/>
        <v>0</v>
      </c>
      <c r="G115" s="172"/>
      <c r="H115" s="195">
        <v>0</v>
      </c>
      <c r="I115" s="304">
        <f>F115-H115</f>
        <v>0</v>
      </c>
      <c r="J115" s="153"/>
      <c r="K115" s="153"/>
      <c r="L115" s="153"/>
    </row>
    <row r="116" spans="1:12">
      <c r="A116" s="153">
        <v>0</v>
      </c>
      <c r="B116" s="74" t="s">
        <v>84</v>
      </c>
      <c r="D116" s="180">
        <v>0</v>
      </c>
      <c r="E116" s="211">
        <f t="shared" si="27"/>
        <v>0</v>
      </c>
      <c r="F116" s="211">
        <f t="shared" si="26"/>
        <v>0</v>
      </c>
      <c r="G116" s="172"/>
      <c r="H116" s="195">
        <v>0</v>
      </c>
      <c r="I116" s="304">
        <f t="shared" ref="I116" si="29">F116-H116</f>
        <v>0</v>
      </c>
      <c r="J116" s="153"/>
      <c r="K116" s="153"/>
      <c r="L116" s="153"/>
    </row>
    <row r="117" spans="1:12">
      <c r="A117" s="153">
        <v>0</v>
      </c>
      <c r="B117" s="74" t="s">
        <v>84</v>
      </c>
      <c r="D117" s="180">
        <v>0</v>
      </c>
      <c r="E117" s="211">
        <f t="shared" si="27"/>
        <v>0</v>
      </c>
      <c r="F117" s="211">
        <f t="shared" si="26"/>
        <v>0</v>
      </c>
      <c r="G117" s="172"/>
      <c r="H117" s="195">
        <v>0</v>
      </c>
      <c r="I117" s="304">
        <f>F117-H117</f>
        <v>0</v>
      </c>
      <c r="J117" s="153"/>
      <c r="K117" s="153"/>
      <c r="L117" s="153"/>
    </row>
    <row r="118" spans="1:12">
      <c r="A118" s="153">
        <v>0</v>
      </c>
      <c r="B118" s="74" t="s">
        <v>84</v>
      </c>
      <c r="D118" s="180">
        <v>0</v>
      </c>
      <c r="E118" s="211">
        <f t="shared" si="27"/>
        <v>0</v>
      </c>
      <c r="F118" s="211">
        <f t="shared" si="26"/>
        <v>0</v>
      </c>
      <c r="G118" s="172"/>
      <c r="H118" s="195">
        <v>0</v>
      </c>
      <c r="I118" s="300">
        <f>F118-H118</f>
        <v>0</v>
      </c>
      <c r="J118" s="153"/>
      <c r="K118" s="153"/>
      <c r="L118" s="153"/>
    </row>
    <row r="119" spans="1:12">
      <c r="A119" s="153">
        <v>0</v>
      </c>
      <c r="B119" s="74" t="s">
        <v>84</v>
      </c>
      <c r="D119" s="180">
        <v>0</v>
      </c>
      <c r="E119" s="211">
        <f t="shared" si="27"/>
        <v>0</v>
      </c>
      <c r="F119" s="211">
        <f t="shared" si="26"/>
        <v>0</v>
      </c>
      <c r="G119" s="172"/>
      <c r="H119" s="249">
        <v>0</v>
      </c>
      <c r="I119" s="302">
        <f t="shared" ref="I119:I121" si="30">F119-H119</f>
        <v>0</v>
      </c>
      <c r="J119" s="153"/>
      <c r="K119" s="153"/>
      <c r="L119" s="153"/>
    </row>
    <row r="120" spans="1:12">
      <c r="A120" s="106" t="s">
        <v>11</v>
      </c>
      <c r="B120" s="89" t="s">
        <v>11</v>
      </c>
      <c r="D120" s="234" t="s">
        <v>11</v>
      </c>
      <c r="E120" s="235" t="s">
        <v>11</v>
      </c>
      <c r="F120" s="235" t="s">
        <v>11</v>
      </c>
      <c r="G120" s="236"/>
    </row>
    <row r="121" spans="1:12">
      <c r="A121" s="106">
        <v>0</v>
      </c>
      <c r="B121" s="117" t="s">
        <v>85</v>
      </c>
      <c r="D121" s="228">
        <v>0</v>
      </c>
      <c r="E121" s="211">
        <f>F121-D121</f>
        <v>0</v>
      </c>
      <c r="F121" s="195">
        <v>0</v>
      </c>
      <c r="G121" s="172"/>
      <c r="H121" s="249">
        <v>0</v>
      </c>
      <c r="I121" s="302">
        <f t="shared" si="30"/>
        <v>0</v>
      </c>
      <c r="J121" s="153"/>
      <c r="K121" s="153"/>
      <c r="L121" s="153"/>
    </row>
    <row r="122" spans="1:12">
      <c r="A122" s="106" t="s">
        <v>11</v>
      </c>
      <c r="B122" s="89" t="s">
        <v>11</v>
      </c>
      <c r="D122" s="234" t="s">
        <v>11</v>
      </c>
      <c r="E122" s="235" t="s">
        <v>11</v>
      </c>
      <c r="F122" s="235" t="s">
        <v>11</v>
      </c>
      <c r="G122" s="236"/>
    </row>
    <row r="123" spans="1:12">
      <c r="B123" s="97" t="s">
        <v>92</v>
      </c>
      <c r="C123" s="80"/>
      <c r="D123" s="213">
        <f>SUM(D110:D122)</f>
        <v>0</v>
      </c>
      <c r="E123" s="213">
        <f>SUM(E110:E122)</f>
        <v>0</v>
      </c>
      <c r="F123" s="182">
        <f>SUM(F110:F122)</f>
        <v>0</v>
      </c>
      <c r="G123" s="174"/>
      <c r="H123" s="315">
        <f>SUM(H110:H122)</f>
        <v>0</v>
      </c>
      <c r="I123" s="230">
        <f>F123-H123</f>
        <v>0</v>
      </c>
    </row>
    <row r="124" spans="1:12">
      <c r="A124" s="153" t="s">
        <v>11</v>
      </c>
      <c r="B124" s="74" t="s">
        <v>11</v>
      </c>
      <c r="D124" s="183" t="s">
        <v>11</v>
      </c>
      <c r="E124" s="162" t="s">
        <v>11</v>
      </c>
      <c r="F124" s="162" t="s">
        <v>11</v>
      </c>
      <c r="G124" s="172" t="s">
        <v>11</v>
      </c>
      <c r="I124" s="153"/>
      <c r="J124" s="153"/>
      <c r="K124" s="153"/>
      <c r="L124" s="153"/>
    </row>
    <row r="125" spans="1:12">
      <c r="A125" s="153"/>
      <c r="B125" s="73" t="s">
        <v>93</v>
      </c>
      <c r="D125" s="183"/>
      <c r="E125" s="162"/>
      <c r="F125" s="162"/>
      <c r="G125" s="172"/>
      <c r="H125" s="293" t="s">
        <v>83</v>
      </c>
      <c r="I125" s="293" t="s">
        <v>77</v>
      </c>
      <c r="J125" s="153"/>
      <c r="K125" s="153"/>
      <c r="L125" s="153"/>
    </row>
    <row r="126" spans="1:12">
      <c r="A126" s="153">
        <v>1</v>
      </c>
      <c r="B126" s="74" t="s">
        <v>94</v>
      </c>
      <c r="D126" s="180">
        <v>0</v>
      </c>
      <c r="E126" s="211">
        <f t="shared" ref="E126:E128" si="31">F126-D126</f>
        <v>0</v>
      </c>
      <c r="F126" s="211">
        <f t="shared" ref="F126:F128" si="32">ROUNDUP((D126*fee/5),0)*5</f>
        <v>0</v>
      </c>
      <c r="G126" s="172"/>
      <c r="H126" s="294">
        <v>0</v>
      </c>
      <c r="I126" s="301">
        <f>F126-H126</f>
        <v>0</v>
      </c>
      <c r="J126" s="153"/>
      <c r="K126" s="153"/>
      <c r="L126" s="153"/>
    </row>
    <row r="127" spans="1:12">
      <c r="A127" s="153">
        <v>1</v>
      </c>
      <c r="B127" s="74" t="s">
        <v>95</v>
      </c>
      <c r="D127" s="180">
        <v>0</v>
      </c>
      <c r="E127" s="211">
        <f t="shared" si="31"/>
        <v>0</v>
      </c>
      <c r="F127" s="211">
        <f t="shared" si="32"/>
        <v>0</v>
      </c>
      <c r="G127" s="172"/>
      <c r="H127" s="249">
        <v>0</v>
      </c>
      <c r="I127" s="302">
        <f>F127-H127</f>
        <v>0</v>
      </c>
      <c r="J127" s="153"/>
      <c r="K127" s="153"/>
      <c r="L127" s="153"/>
    </row>
    <row r="128" spans="1:12">
      <c r="A128" s="153">
        <v>0</v>
      </c>
      <c r="B128" s="74" t="s">
        <v>84</v>
      </c>
      <c r="D128" s="180">
        <v>0</v>
      </c>
      <c r="E128" s="211">
        <f t="shared" si="31"/>
        <v>0</v>
      </c>
      <c r="F128" s="211">
        <f t="shared" si="32"/>
        <v>0</v>
      </c>
      <c r="G128" s="172"/>
      <c r="H128" s="249">
        <v>0</v>
      </c>
      <c r="I128" s="302">
        <f t="shared" ref="I128" si="33">F128-H128</f>
        <v>0</v>
      </c>
      <c r="J128" s="153"/>
      <c r="K128" s="153"/>
      <c r="L128" s="153"/>
    </row>
    <row r="129" spans="1:12">
      <c r="A129" s="153"/>
      <c r="B129" s="74"/>
      <c r="D129" s="183"/>
      <c r="E129" s="162"/>
      <c r="F129" s="162"/>
      <c r="G129" s="172"/>
      <c r="I129" s="153"/>
      <c r="J129" s="153"/>
      <c r="K129" s="153"/>
      <c r="L129" s="153"/>
    </row>
    <row r="130" spans="1:12">
      <c r="A130" s="106">
        <v>0</v>
      </c>
      <c r="B130" s="117" t="s">
        <v>85</v>
      </c>
      <c r="D130" s="228">
        <v>0</v>
      </c>
      <c r="E130" s="211">
        <f>F130-D130</f>
        <v>0</v>
      </c>
      <c r="F130" s="195">
        <v>0</v>
      </c>
      <c r="G130" s="172"/>
      <c r="H130" s="249">
        <v>0</v>
      </c>
      <c r="I130" s="302">
        <f t="shared" ref="I130" si="34">F130-H130</f>
        <v>0</v>
      </c>
      <c r="J130" s="153"/>
      <c r="K130" s="153"/>
      <c r="L130" s="153"/>
    </row>
    <row r="131" spans="1:12">
      <c r="A131" s="106" t="s">
        <v>11</v>
      </c>
      <c r="B131" s="89" t="s">
        <v>11</v>
      </c>
      <c r="D131" s="234" t="s">
        <v>11</v>
      </c>
      <c r="E131" s="235" t="s">
        <v>11</v>
      </c>
      <c r="F131" s="235" t="s">
        <v>11</v>
      </c>
      <c r="G131" s="236"/>
    </row>
    <row r="132" spans="1:12">
      <c r="B132" s="97" t="s">
        <v>93</v>
      </c>
      <c r="C132" s="80"/>
      <c r="D132" s="213">
        <f>SUM(D126:D131)</f>
        <v>0</v>
      </c>
      <c r="E132" s="213">
        <f>SUM(E126:E131)</f>
        <v>0</v>
      </c>
      <c r="F132" s="182">
        <f>SUM(F126:F131)</f>
        <v>0</v>
      </c>
      <c r="G132" s="174"/>
      <c r="H132" s="315">
        <f>SUM(H126:H131)</f>
        <v>0</v>
      </c>
      <c r="I132" s="230">
        <f>F132-H132</f>
        <v>0</v>
      </c>
    </row>
    <row r="133" spans="1:12">
      <c r="C133" s="80"/>
      <c r="D133" s="172"/>
      <c r="E133" s="172"/>
      <c r="F133" s="172"/>
      <c r="G133" s="172"/>
    </row>
    <row r="134" spans="1:12">
      <c r="C134" s="80"/>
      <c r="D134" s="172"/>
      <c r="E134" s="172"/>
      <c r="F134" s="172"/>
      <c r="G134" s="172"/>
    </row>
    <row r="135" spans="1:12">
      <c r="B135" s="73" t="s">
        <v>96</v>
      </c>
      <c r="C135" s="80"/>
      <c r="D135" s="172"/>
      <c r="E135" s="172"/>
      <c r="F135" s="335"/>
      <c r="G135" s="172"/>
      <c r="H135" s="293" t="s">
        <v>83</v>
      </c>
      <c r="I135" s="293" t="s">
        <v>77</v>
      </c>
      <c r="J135" s="153"/>
      <c r="K135" s="153"/>
      <c r="L135" s="153"/>
    </row>
    <row r="136" spans="1:12">
      <c r="A136" s="153">
        <v>0</v>
      </c>
      <c r="B136" s="87" t="s">
        <v>84</v>
      </c>
      <c r="D136" s="181">
        <v>0</v>
      </c>
      <c r="E136" s="210">
        <f>F136-D136</f>
        <v>0</v>
      </c>
      <c r="F136" s="211">
        <f t="shared" ref="F136:F145" si="35">ROUNDUP((D136*fee/5),0)*5</f>
        <v>0</v>
      </c>
      <c r="G136" s="172"/>
      <c r="H136" s="294">
        <v>0</v>
      </c>
      <c r="I136" s="301">
        <f>F136-H136</f>
        <v>0</v>
      </c>
      <c r="J136" s="153"/>
      <c r="K136" s="153"/>
      <c r="L136" s="153"/>
    </row>
    <row r="137" spans="1:12">
      <c r="A137" s="153">
        <v>0</v>
      </c>
      <c r="B137" s="74" t="s">
        <v>84</v>
      </c>
      <c r="D137" s="180">
        <v>0</v>
      </c>
      <c r="E137" s="211">
        <f>F137-D137</f>
        <v>0</v>
      </c>
      <c r="F137" s="211">
        <f t="shared" si="35"/>
        <v>0</v>
      </c>
      <c r="G137" s="172"/>
      <c r="H137" s="249">
        <v>0</v>
      </c>
      <c r="I137" s="302">
        <f>F137-H137</f>
        <v>0</v>
      </c>
      <c r="J137" s="153"/>
      <c r="K137" s="153"/>
      <c r="L137" s="153"/>
    </row>
    <row r="138" spans="1:12">
      <c r="A138" s="153">
        <v>0</v>
      </c>
      <c r="B138" s="74" t="s">
        <v>84</v>
      </c>
      <c r="D138" s="180">
        <v>0</v>
      </c>
      <c r="E138" s="211">
        <f t="shared" ref="E138:E144" si="36">F138-D138</f>
        <v>0</v>
      </c>
      <c r="F138" s="211">
        <f t="shared" si="35"/>
        <v>0</v>
      </c>
      <c r="G138" s="172"/>
      <c r="H138" s="249">
        <v>0</v>
      </c>
      <c r="I138" s="302">
        <f t="shared" ref="I138:I139" si="37">F138-H138</f>
        <v>0</v>
      </c>
      <c r="J138" s="153"/>
      <c r="K138" s="153"/>
      <c r="L138" s="153"/>
    </row>
    <row r="139" spans="1:12">
      <c r="A139" s="153">
        <v>0</v>
      </c>
      <c r="B139" s="74" t="s">
        <v>84</v>
      </c>
      <c r="D139" s="180">
        <v>0</v>
      </c>
      <c r="E139" s="211">
        <f t="shared" si="36"/>
        <v>0</v>
      </c>
      <c r="F139" s="211">
        <f t="shared" si="35"/>
        <v>0</v>
      </c>
      <c r="G139" s="172"/>
      <c r="H139" s="195">
        <v>0</v>
      </c>
      <c r="I139" s="304">
        <f t="shared" si="37"/>
        <v>0</v>
      </c>
      <c r="J139" s="153"/>
      <c r="K139" s="153"/>
      <c r="L139" s="153"/>
    </row>
    <row r="140" spans="1:12">
      <c r="A140" s="153">
        <v>0</v>
      </c>
      <c r="B140" s="74" t="s">
        <v>84</v>
      </c>
      <c r="D140" s="180">
        <v>0</v>
      </c>
      <c r="E140" s="211">
        <f t="shared" si="36"/>
        <v>0</v>
      </c>
      <c r="F140" s="211">
        <f t="shared" si="35"/>
        <v>0</v>
      </c>
      <c r="G140" s="172"/>
      <c r="H140" s="195">
        <v>0</v>
      </c>
      <c r="I140" s="304">
        <f>F140-H140</f>
        <v>0</v>
      </c>
      <c r="J140" s="153"/>
      <c r="K140" s="153"/>
      <c r="L140" s="153"/>
    </row>
    <row r="141" spans="1:12">
      <c r="A141" s="153">
        <v>0</v>
      </c>
      <c r="B141" s="74" t="s">
        <v>84</v>
      </c>
      <c r="D141" s="180">
        <v>0</v>
      </c>
      <c r="E141" s="211">
        <f t="shared" si="36"/>
        <v>0</v>
      </c>
      <c r="F141" s="211">
        <f t="shared" si="35"/>
        <v>0</v>
      </c>
      <c r="G141" s="172"/>
      <c r="H141" s="249">
        <v>0</v>
      </c>
      <c r="I141" s="302">
        <f t="shared" ref="I141:I142" si="38">F141-H141</f>
        <v>0</v>
      </c>
      <c r="J141" s="153"/>
      <c r="K141" s="153"/>
      <c r="L141" s="153"/>
    </row>
    <row r="142" spans="1:12">
      <c r="A142" s="153">
        <v>0</v>
      </c>
      <c r="B142" s="74" t="s">
        <v>84</v>
      </c>
      <c r="D142" s="180">
        <v>0</v>
      </c>
      <c r="E142" s="211">
        <f t="shared" si="36"/>
        <v>0</v>
      </c>
      <c r="F142" s="211">
        <f t="shared" si="35"/>
        <v>0</v>
      </c>
      <c r="G142" s="172"/>
      <c r="H142" s="195">
        <v>0</v>
      </c>
      <c r="I142" s="304">
        <f t="shared" si="38"/>
        <v>0</v>
      </c>
      <c r="J142" s="153"/>
      <c r="K142" s="153"/>
      <c r="L142" s="153"/>
    </row>
    <row r="143" spans="1:12">
      <c r="A143" s="153">
        <v>0</v>
      </c>
      <c r="B143" s="74" t="s">
        <v>84</v>
      </c>
      <c r="D143" s="180">
        <v>0</v>
      </c>
      <c r="E143" s="211">
        <f t="shared" si="36"/>
        <v>0</v>
      </c>
      <c r="F143" s="211">
        <f t="shared" si="35"/>
        <v>0</v>
      </c>
      <c r="G143" s="172"/>
      <c r="H143" s="195">
        <v>0</v>
      </c>
      <c r="I143" s="304">
        <f>F143-H143</f>
        <v>0</v>
      </c>
      <c r="J143" s="153"/>
      <c r="K143" s="153"/>
      <c r="L143" s="153"/>
    </row>
    <row r="144" spans="1:12">
      <c r="A144" s="153">
        <v>0</v>
      </c>
      <c r="B144" s="74" t="s">
        <v>84</v>
      </c>
      <c r="D144" s="180">
        <v>0</v>
      </c>
      <c r="E144" s="211">
        <f t="shared" si="36"/>
        <v>0</v>
      </c>
      <c r="F144" s="211">
        <f t="shared" si="35"/>
        <v>0</v>
      </c>
      <c r="G144" s="172"/>
      <c r="H144" s="195">
        <v>0</v>
      </c>
      <c r="I144" s="304">
        <f>F144-H144</f>
        <v>0</v>
      </c>
      <c r="J144" s="153"/>
      <c r="K144" s="153"/>
      <c r="L144" s="153"/>
    </row>
    <row r="145" spans="1:12">
      <c r="A145" s="106">
        <v>0</v>
      </c>
      <c r="B145" s="74" t="s">
        <v>84</v>
      </c>
      <c r="D145" s="180">
        <v>0</v>
      </c>
      <c r="E145" s="211">
        <f>F145-D145</f>
        <v>0</v>
      </c>
      <c r="F145" s="211">
        <f t="shared" si="35"/>
        <v>0</v>
      </c>
      <c r="G145" s="172"/>
      <c r="H145" s="249">
        <v>0</v>
      </c>
      <c r="I145" s="302">
        <f t="shared" ref="I145" si="39">F145-H145</f>
        <v>0</v>
      </c>
      <c r="J145" s="153"/>
      <c r="K145" s="153"/>
      <c r="L145" s="153"/>
    </row>
    <row r="146" spans="1:12">
      <c r="A146" s="106" t="s">
        <v>11</v>
      </c>
      <c r="B146" s="89" t="s">
        <v>11</v>
      </c>
      <c r="D146" s="234" t="s">
        <v>11</v>
      </c>
      <c r="E146" s="235" t="s">
        <v>11</v>
      </c>
      <c r="F146" s="235" t="s">
        <v>11</v>
      </c>
      <c r="G146" s="236"/>
    </row>
    <row r="147" spans="1:12" s="107" customFormat="1">
      <c r="A147" s="106"/>
      <c r="B147" s="97" t="str">
        <f>B135</f>
        <v>Electrical</v>
      </c>
      <c r="C147" s="80"/>
      <c r="D147" s="213">
        <f>SUM(D136:D146)</f>
        <v>0</v>
      </c>
      <c r="E147" s="213">
        <f>SUM(E136:E146)</f>
        <v>0</v>
      </c>
      <c r="F147" s="182">
        <f>SUM(F136:F146)</f>
        <v>0</v>
      </c>
      <c r="G147" s="174"/>
      <c r="H147" s="315">
        <f>SUM(H136:H146)</f>
        <v>0</v>
      </c>
      <c r="I147" s="230">
        <f>F147-H147</f>
        <v>0</v>
      </c>
      <c r="L147" s="146"/>
    </row>
    <row r="148" spans="1:12">
      <c r="C148" s="80"/>
      <c r="D148" s="172"/>
      <c r="E148" s="172"/>
      <c r="F148" s="172"/>
      <c r="G148" s="172"/>
    </row>
    <row r="149" spans="1:12">
      <c r="C149" s="80"/>
      <c r="D149" s="172"/>
      <c r="E149" s="172"/>
      <c r="F149" s="172"/>
      <c r="G149" s="172"/>
    </row>
    <row r="150" spans="1:12">
      <c r="A150" s="153"/>
      <c r="B150" s="73" t="s">
        <v>17</v>
      </c>
      <c r="D150" s="172"/>
      <c r="E150" s="172"/>
      <c r="F150" s="335"/>
      <c r="G150" s="172"/>
      <c r="H150" s="293" t="s">
        <v>83</v>
      </c>
      <c r="I150" s="293" t="s">
        <v>77</v>
      </c>
      <c r="J150" s="153"/>
      <c r="K150" s="153"/>
      <c r="L150" s="153"/>
    </row>
    <row r="151" spans="1:12">
      <c r="A151" s="153">
        <v>0</v>
      </c>
      <c r="B151" s="74" t="s">
        <v>84</v>
      </c>
      <c r="D151" s="181">
        <v>0</v>
      </c>
      <c r="E151" s="210">
        <f t="shared" ref="E151:E153" si="40">F151-D151</f>
        <v>0</v>
      </c>
      <c r="F151" s="211">
        <f t="shared" ref="F151:F153" si="41">ROUNDUP((D151*fee/5),0)*5</f>
        <v>0</v>
      </c>
      <c r="G151" s="172"/>
      <c r="H151" s="294">
        <v>0</v>
      </c>
      <c r="I151" s="301">
        <f>F151-H151</f>
        <v>0</v>
      </c>
      <c r="J151" s="153"/>
      <c r="K151" s="153"/>
      <c r="L151" s="153"/>
    </row>
    <row r="152" spans="1:12">
      <c r="A152" s="153">
        <v>0</v>
      </c>
      <c r="B152" s="74" t="s">
        <v>84</v>
      </c>
      <c r="D152" s="180">
        <v>0</v>
      </c>
      <c r="E152" s="211">
        <f t="shared" si="40"/>
        <v>0</v>
      </c>
      <c r="F152" s="211">
        <f t="shared" si="41"/>
        <v>0</v>
      </c>
      <c r="G152" s="172"/>
      <c r="H152" s="249">
        <v>0</v>
      </c>
      <c r="I152" s="302">
        <f>F152-H152</f>
        <v>0</v>
      </c>
      <c r="J152" s="153"/>
      <c r="K152" s="153"/>
      <c r="L152" s="153"/>
    </row>
    <row r="153" spans="1:12">
      <c r="A153" s="153">
        <v>0</v>
      </c>
      <c r="B153" s="74" t="s">
        <v>84</v>
      </c>
      <c r="D153" s="180">
        <v>0</v>
      </c>
      <c r="E153" s="211">
        <f t="shared" si="40"/>
        <v>0</v>
      </c>
      <c r="F153" s="211">
        <f t="shared" si="41"/>
        <v>0</v>
      </c>
      <c r="G153" s="172"/>
      <c r="H153" s="249">
        <v>0</v>
      </c>
      <c r="I153" s="302">
        <f t="shared" ref="I153" si="42">F153-H153</f>
        <v>0</v>
      </c>
      <c r="J153" s="153"/>
      <c r="K153" s="153"/>
      <c r="L153" s="153"/>
    </row>
    <row r="154" spans="1:12">
      <c r="A154" s="153"/>
      <c r="B154" s="74"/>
      <c r="D154" s="183"/>
      <c r="E154" s="162"/>
      <c r="F154" s="162"/>
      <c r="G154" s="172"/>
      <c r="I154" s="153"/>
      <c r="J154" s="153"/>
      <c r="K154" s="153"/>
      <c r="L154" s="153"/>
    </row>
    <row r="155" spans="1:12">
      <c r="A155" s="106">
        <v>0</v>
      </c>
      <c r="B155" s="117" t="s">
        <v>85</v>
      </c>
      <c r="D155" s="228">
        <v>0</v>
      </c>
      <c r="E155" s="211">
        <f>F155-D155</f>
        <v>0</v>
      </c>
      <c r="F155" s="195">
        <v>0</v>
      </c>
      <c r="G155" s="172"/>
      <c r="H155" s="249">
        <v>0</v>
      </c>
      <c r="I155" s="302">
        <f t="shared" ref="I155" si="43">F155-H155</f>
        <v>0</v>
      </c>
      <c r="J155" s="153"/>
      <c r="K155" s="153"/>
      <c r="L155" s="153"/>
    </row>
    <row r="156" spans="1:12">
      <c r="A156" s="106" t="s">
        <v>11</v>
      </c>
      <c r="B156" s="89" t="s">
        <v>11</v>
      </c>
      <c r="D156" s="234" t="s">
        <v>11</v>
      </c>
      <c r="E156" s="235" t="s">
        <v>11</v>
      </c>
      <c r="F156" s="235" t="s">
        <v>11</v>
      </c>
      <c r="G156" s="236"/>
    </row>
    <row r="157" spans="1:12">
      <c r="B157" s="97" t="s">
        <v>93</v>
      </c>
      <c r="C157" s="80"/>
      <c r="D157" s="213">
        <f>SUM(D151:D156)</f>
        <v>0</v>
      </c>
      <c r="E157" s="213">
        <f>SUM(E151:E156)</f>
        <v>0</v>
      </c>
      <c r="F157" s="182">
        <f>SUM(F151:F156)</f>
        <v>0</v>
      </c>
      <c r="G157" s="174"/>
      <c r="H157" s="315">
        <f>SUM(H151:H156)</f>
        <v>0</v>
      </c>
      <c r="I157" s="230">
        <f>F157-H157</f>
        <v>0</v>
      </c>
    </row>
    <row r="158" spans="1:12" s="107" customFormat="1">
      <c r="A158" s="106"/>
      <c r="B158" s="146"/>
      <c r="C158" s="80"/>
      <c r="D158" s="172"/>
      <c r="E158" s="172"/>
      <c r="F158" s="172"/>
      <c r="G158" s="172"/>
      <c r="L158" s="146"/>
    </row>
    <row r="159" spans="1:12" s="107" customFormat="1">
      <c r="A159" s="106"/>
      <c r="B159" s="146"/>
      <c r="C159" s="80"/>
      <c r="D159" s="172"/>
      <c r="E159" s="172"/>
      <c r="F159" s="172"/>
      <c r="G159" s="172"/>
      <c r="H159" s="73" t="s">
        <v>83</v>
      </c>
      <c r="I159" s="73" t="s">
        <v>77</v>
      </c>
      <c r="J159" s="237" t="s">
        <v>57</v>
      </c>
      <c r="L159" s="146"/>
    </row>
    <row r="160" spans="1:12" s="107" customFormat="1" ht="14.1" thickBot="1">
      <c r="A160" s="106"/>
      <c r="B160" s="78" t="s">
        <v>97</v>
      </c>
      <c r="C160" s="80"/>
      <c r="D160" s="79">
        <f>D25+D41+D49+D68+D85+D94+D106+D132+D147+D123+D157</f>
        <v>1</v>
      </c>
      <c r="E160" s="79">
        <f>E25+E41+E49+E68+E85+E94+E106+E132+E147+E123+E157</f>
        <v>4</v>
      </c>
      <c r="F160" s="193">
        <f>F25+F41+F49+F68+F85+F94+F106+F132+F147+F123+F157</f>
        <v>5</v>
      </c>
      <c r="G160" s="172"/>
      <c r="H160" s="269">
        <f>H25+H41+H49+H68+H85+H94+H106+H132+H147+H157+H123</f>
        <v>0</v>
      </c>
      <c r="I160" s="239">
        <f>F160-H160</f>
        <v>5</v>
      </c>
      <c r="J160" s="240" t="e">
        <f ca="1">SOM(I14:I147)-I160</f>
        <v>#NAME?</v>
      </c>
      <c r="L160" s="146"/>
    </row>
    <row r="161" spans="1:12" s="107" customFormat="1" ht="14.1" thickTop="1">
      <c r="A161" s="106"/>
      <c r="B161" s="146"/>
      <c r="C161" s="80"/>
      <c r="D161" s="172"/>
      <c r="E161" s="172"/>
      <c r="F161" s="172"/>
      <c r="G161" s="172"/>
      <c r="L161" s="146"/>
    </row>
    <row r="162" spans="1:12" s="107" customFormat="1">
      <c r="A162" s="106"/>
      <c r="B162" s="146"/>
      <c r="C162" s="80"/>
      <c r="D162" s="172"/>
      <c r="E162" s="172"/>
      <c r="F162" s="172"/>
      <c r="G162" s="172"/>
      <c r="L162" s="146"/>
    </row>
    <row r="163" spans="1:12" s="107" customFormat="1">
      <c r="A163" s="106"/>
      <c r="B163" s="81" t="s">
        <v>98</v>
      </c>
      <c r="C163" s="80"/>
      <c r="D163" s="172"/>
      <c r="E163" s="172"/>
      <c r="F163" s="172"/>
      <c r="G163" s="172"/>
      <c r="L163" s="146"/>
    </row>
    <row r="164" spans="1:12" s="107" customFormat="1">
      <c r="A164" s="106" t="s">
        <v>11</v>
      </c>
      <c r="B164" s="87"/>
      <c r="D164" s="241" t="s">
        <v>11</v>
      </c>
      <c r="E164" s="160" t="s">
        <v>11</v>
      </c>
      <c r="F164" s="242" t="s">
        <v>11</v>
      </c>
      <c r="G164" s="172"/>
      <c r="L164" s="146"/>
    </row>
    <row r="165" spans="1:12" s="107" customFormat="1">
      <c r="A165" s="106" t="s">
        <v>11</v>
      </c>
      <c r="B165" s="88" t="s">
        <v>99</v>
      </c>
      <c r="D165" s="183" t="s">
        <v>11</v>
      </c>
      <c r="E165" s="162" t="s">
        <v>11</v>
      </c>
      <c r="F165" s="165" t="s">
        <v>11</v>
      </c>
      <c r="G165" s="172"/>
      <c r="H165" s="293" t="s">
        <v>83</v>
      </c>
      <c r="I165" s="293" t="s">
        <v>77</v>
      </c>
      <c r="L165" s="146"/>
    </row>
    <row r="166" spans="1:12" s="107" customFormat="1">
      <c r="A166" s="106">
        <v>0</v>
      </c>
      <c r="B166" s="74" t="s">
        <v>84</v>
      </c>
      <c r="D166" s="180">
        <v>0</v>
      </c>
      <c r="E166" s="211">
        <f>F166-D166</f>
        <v>0</v>
      </c>
      <c r="F166" s="211">
        <f t="shared" ref="F166:F170" si="44">ROUNDUP((D166*fee/5),0)*5</f>
        <v>0</v>
      </c>
      <c r="G166" s="172"/>
      <c r="H166" s="294">
        <v>0</v>
      </c>
      <c r="I166" s="301">
        <f>F166-H166</f>
        <v>0</v>
      </c>
      <c r="L166" s="146"/>
    </row>
    <row r="167" spans="1:12" s="107" customFormat="1">
      <c r="A167" s="106">
        <v>0</v>
      </c>
      <c r="B167" s="74" t="s">
        <v>84</v>
      </c>
      <c r="D167" s="180">
        <v>0</v>
      </c>
      <c r="E167" s="211">
        <f>F167-D167</f>
        <v>0</v>
      </c>
      <c r="F167" s="211">
        <f t="shared" si="44"/>
        <v>0</v>
      </c>
      <c r="G167" s="172"/>
      <c r="H167" s="249">
        <v>0</v>
      </c>
      <c r="I167" s="302">
        <f>F167-H167</f>
        <v>0</v>
      </c>
      <c r="L167" s="146"/>
    </row>
    <row r="168" spans="1:12" s="107" customFormat="1">
      <c r="A168" s="106">
        <v>0</v>
      </c>
      <c r="B168" s="74" t="s">
        <v>100</v>
      </c>
      <c r="D168" s="180">
        <v>0</v>
      </c>
      <c r="E168" s="211">
        <f>F168-D168</f>
        <v>0</v>
      </c>
      <c r="F168" s="211">
        <f t="shared" si="44"/>
        <v>0</v>
      </c>
      <c r="G168" s="172"/>
      <c r="H168" s="249">
        <v>0</v>
      </c>
      <c r="I168" s="302">
        <f t="shared" ref="I168" si="45">F168-H168</f>
        <v>0</v>
      </c>
      <c r="L168" s="146"/>
    </row>
    <row r="169" spans="1:12" s="107" customFormat="1">
      <c r="A169" s="106">
        <v>0</v>
      </c>
      <c r="B169" s="74" t="s">
        <v>84</v>
      </c>
      <c r="D169" s="180">
        <v>0</v>
      </c>
      <c r="E169" s="211">
        <f t="shared" ref="E169:E195" si="46">F169-D169</f>
        <v>0</v>
      </c>
      <c r="F169" s="211">
        <f t="shared" si="44"/>
        <v>0</v>
      </c>
      <c r="G169" s="172"/>
      <c r="H169" s="249">
        <v>0</v>
      </c>
      <c r="I169" s="302">
        <f>F169-H169</f>
        <v>0</v>
      </c>
      <c r="L169" s="146"/>
    </row>
    <row r="170" spans="1:12" s="107" customFormat="1">
      <c r="A170" s="106">
        <v>0</v>
      </c>
      <c r="B170" s="74" t="s">
        <v>84</v>
      </c>
      <c r="D170" s="180">
        <v>0</v>
      </c>
      <c r="E170" s="211">
        <f t="shared" si="46"/>
        <v>0</v>
      </c>
      <c r="F170" s="211">
        <f t="shared" si="44"/>
        <v>0</v>
      </c>
      <c r="G170" s="172"/>
      <c r="H170" s="249">
        <v>0</v>
      </c>
      <c r="I170" s="302">
        <f t="shared" ref="I170" si="47">F170-H170</f>
        <v>0</v>
      </c>
      <c r="L170" s="146"/>
    </row>
    <row r="171" spans="1:12" s="107" customFormat="1">
      <c r="A171" s="106" t="s">
        <v>11</v>
      </c>
      <c r="B171" s="74"/>
      <c r="D171" s="183" t="s">
        <v>11</v>
      </c>
      <c r="E171" s="162" t="s">
        <v>11</v>
      </c>
      <c r="F171" s="165" t="s">
        <v>11</v>
      </c>
      <c r="G171" s="172"/>
      <c r="L171" s="146"/>
    </row>
    <row r="172" spans="1:12" s="107" customFormat="1">
      <c r="A172" s="106" t="s">
        <v>11</v>
      </c>
      <c r="B172" s="88" t="s">
        <v>101</v>
      </c>
      <c r="D172" s="183" t="s">
        <v>11</v>
      </c>
      <c r="E172" s="162" t="s">
        <v>11</v>
      </c>
      <c r="F172" s="165" t="s">
        <v>11</v>
      </c>
      <c r="G172" s="172"/>
      <c r="L172" s="146"/>
    </row>
    <row r="173" spans="1:12" s="107" customFormat="1">
      <c r="A173" s="106">
        <v>0</v>
      </c>
      <c r="B173" s="74" t="s">
        <v>102</v>
      </c>
      <c r="D173" s="180">
        <v>0</v>
      </c>
      <c r="E173" s="211">
        <f t="shared" si="46"/>
        <v>0</v>
      </c>
      <c r="F173" s="211">
        <f t="shared" ref="F173:F177" si="48">ROUNDUP((D173*fee/5),0)*5</f>
        <v>0</v>
      </c>
      <c r="G173" s="172"/>
      <c r="H173" s="294">
        <v>0</v>
      </c>
      <c r="I173" s="301">
        <f>F173-H173</f>
        <v>0</v>
      </c>
      <c r="L173" s="146"/>
    </row>
    <row r="174" spans="1:12" s="107" customFormat="1">
      <c r="A174" s="106">
        <v>0</v>
      </c>
      <c r="B174" s="74" t="s">
        <v>102</v>
      </c>
      <c r="D174" s="180">
        <v>0</v>
      </c>
      <c r="E174" s="211">
        <f t="shared" si="46"/>
        <v>0</v>
      </c>
      <c r="F174" s="211">
        <f t="shared" si="48"/>
        <v>0</v>
      </c>
      <c r="G174" s="172"/>
      <c r="H174" s="249">
        <v>0</v>
      </c>
      <c r="I174" s="302">
        <f>F174-H174</f>
        <v>0</v>
      </c>
      <c r="L174" s="146"/>
    </row>
    <row r="175" spans="1:12" s="107" customFormat="1">
      <c r="A175" s="106">
        <v>0</v>
      </c>
      <c r="B175" s="74" t="s">
        <v>84</v>
      </c>
      <c r="D175" s="180">
        <v>0</v>
      </c>
      <c r="E175" s="211">
        <f t="shared" si="46"/>
        <v>0</v>
      </c>
      <c r="F175" s="211">
        <f t="shared" si="48"/>
        <v>0</v>
      </c>
      <c r="G175" s="172"/>
      <c r="H175" s="249">
        <v>0</v>
      </c>
      <c r="I175" s="302">
        <f t="shared" ref="I175" si="49">F175-H175</f>
        <v>0</v>
      </c>
      <c r="L175" s="146"/>
    </row>
    <row r="176" spans="1:12" s="107" customFormat="1">
      <c r="A176" s="106">
        <v>0</v>
      </c>
      <c r="B176" s="74" t="s">
        <v>84</v>
      </c>
      <c r="D176" s="180">
        <v>0</v>
      </c>
      <c r="E176" s="211">
        <f t="shared" si="46"/>
        <v>0</v>
      </c>
      <c r="F176" s="211">
        <f t="shared" si="48"/>
        <v>0</v>
      </c>
      <c r="G176" s="172"/>
      <c r="H176" s="249">
        <v>0</v>
      </c>
      <c r="I176" s="302">
        <f>F176-H176</f>
        <v>0</v>
      </c>
      <c r="L176" s="146"/>
    </row>
    <row r="177" spans="1:12" s="107" customFormat="1">
      <c r="A177" s="106">
        <v>0</v>
      </c>
      <c r="B177" s="74" t="s">
        <v>84</v>
      </c>
      <c r="D177" s="180">
        <v>0</v>
      </c>
      <c r="E177" s="211">
        <f t="shared" si="46"/>
        <v>0</v>
      </c>
      <c r="F177" s="211">
        <f t="shared" si="48"/>
        <v>0</v>
      </c>
      <c r="G177" s="172"/>
      <c r="H177" s="249">
        <v>0</v>
      </c>
      <c r="I177" s="302">
        <f t="shared" ref="I177" si="50">F177-H177</f>
        <v>0</v>
      </c>
      <c r="L177" s="146"/>
    </row>
    <row r="178" spans="1:12" s="107" customFormat="1">
      <c r="A178" s="106" t="s">
        <v>11</v>
      </c>
      <c r="B178" s="74"/>
      <c r="D178" s="183" t="s">
        <v>11</v>
      </c>
      <c r="E178" s="162" t="s">
        <v>11</v>
      </c>
      <c r="F178" s="165" t="s">
        <v>11</v>
      </c>
      <c r="G178" s="172"/>
      <c r="L178" s="146"/>
    </row>
    <row r="179" spans="1:12" s="107" customFormat="1">
      <c r="A179" s="106" t="s">
        <v>11</v>
      </c>
      <c r="B179" s="88" t="s">
        <v>103</v>
      </c>
      <c r="D179" s="183" t="s">
        <v>11</v>
      </c>
      <c r="E179" s="162" t="s">
        <v>11</v>
      </c>
      <c r="F179" s="165" t="s">
        <v>11</v>
      </c>
      <c r="G179" s="172"/>
      <c r="L179" s="146"/>
    </row>
    <row r="180" spans="1:12" s="107" customFormat="1">
      <c r="A180" s="106">
        <v>0</v>
      </c>
      <c r="B180" s="74" t="s">
        <v>84</v>
      </c>
      <c r="D180" s="180">
        <v>0</v>
      </c>
      <c r="E180" s="211">
        <f t="shared" si="46"/>
        <v>0</v>
      </c>
      <c r="F180" s="211">
        <f t="shared" ref="F180:F182" si="51">ROUNDUP((D180*fee/5),0)*5</f>
        <v>0</v>
      </c>
      <c r="G180" s="172"/>
      <c r="H180" s="294">
        <v>0</v>
      </c>
      <c r="I180" s="301">
        <f>F180-H180</f>
        <v>0</v>
      </c>
      <c r="L180" s="146"/>
    </row>
    <row r="181" spans="1:12" s="107" customFormat="1">
      <c r="A181" s="106">
        <v>0</v>
      </c>
      <c r="B181" s="74" t="s">
        <v>84</v>
      </c>
      <c r="D181" s="180">
        <v>0</v>
      </c>
      <c r="E181" s="211">
        <f t="shared" si="46"/>
        <v>0</v>
      </c>
      <c r="F181" s="211">
        <f t="shared" si="51"/>
        <v>0</v>
      </c>
      <c r="G181" s="172"/>
      <c r="H181" s="249">
        <v>0</v>
      </c>
      <c r="I181" s="302">
        <f>F181-H181</f>
        <v>0</v>
      </c>
      <c r="L181" s="146"/>
    </row>
    <row r="182" spans="1:12" s="107" customFormat="1">
      <c r="A182" s="106">
        <v>0</v>
      </c>
      <c r="B182" s="74" t="s">
        <v>102</v>
      </c>
      <c r="D182" s="180">
        <v>0</v>
      </c>
      <c r="E182" s="211">
        <f t="shared" si="46"/>
        <v>0</v>
      </c>
      <c r="F182" s="211">
        <f t="shared" si="51"/>
        <v>0</v>
      </c>
      <c r="G182" s="172"/>
      <c r="H182" s="249">
        <v>0</v>
      </c>
      <c r="I182" s="302">
        <f t="shared" ref="I182" si="52">F182-H182</f>
        <v>0</v>
      </c>
      <c r="L182" s="146"/>
    </row>
    <row r="183" spans="1:12" s="107" customFormat="1">
      <c r="A183" s="106"/>
      <c r="B183" s="74"/>
      <c r="D183" s="183"/>
      <c r="E183" s="162"/>
      <c r="F183" s="165"/>
      <c r="G183" s="172"/>
      <c r="L183" s="146"/>
    </row>
    <row r="184" spans="1:12" s="107" customFormat="1">
      <c r="A184" s="106"/>
      <c r="B184" s="88" t="s">
        <v>104</v>
      </c>
      <c r="D184" s="183" t="s">
        <v>11</v>
      </c>
      <c r="E184" s="162" t="s">
        <v>11</v>
      </c>
      <c r="F184" s="165" t="s">
        <v>11</v>
      </c>
      <c r="G184" s="172"/>
      <c r="L184" s="146"/>
    </row>
    <row r="185" spans="1:12" s="107" customFormat="1">
      <c r="A185" s="106">
        <v>0</v>
      </c>
      <c r="B185" s="74" t="s">
        <v>84</v>
      </c>
      <c r="D185" s="180">
        <v>0</v>
      </c>
      <c r="E185" s="211">
        <f t="shared" si="46"/>
        <v>0</v>
      </c>
      <c r="F185" s="211">
        <f t="shared" ref="F185:F188" si="53">ROUNDUP((D185*fee/5),0)*5</f>
        <v>0</v>
      </c>
      <c r="G185" s="172"/>
      <c r="H185" s="294">
        <v>0</v>
      </c>
      <c r="I185" s="301">
        <f>F185-H185</f>
        <v>0</v>
      </c>
      <c r="L185" s="146"/>
    </row>
    <row r="186" spans="1:12" s="107" customFormat="1">
      <c r="A186" s="106">
        <v>0</v>
      </c>
      <c r="B186" s="74" t="s">
        <v>102</v>
      </c>
      <c r="D186" s="180">
        <v>0</v>
      </c>
      <c r="E186" s="211">
        <f t="shared" si="46"/>
        <v>0</v>
      </c>
      <c r="F186" s="211">
        <f t="shared" si="53"/>
        <v>0</v>
      </c>
      <c r="G186" s="172"/>
      <c r="H186" s="249">
        <v>0</v>
      </c>
      <c r="I186" s="302">
        <f>F186-H186</f>
        <v>0</v>
      </c>
      <c r="L186" s="146"/>
    </row>
    <row r="187" spans="1:12" s="107" customFormat="1">
      <c r="A187" s="106">
        <v>0</v>
      </c>
      <c r="B187" s="74" t="s">
        <v>102</v>
      </c>
      <c r="D187" s="180">
        <v>0</v>
      </c>
      <c r="E187" s="211">
        <f t="shared" si="46"/>
        <v>0</v>
      </c>
      <c r="F187" s="211">
        <f t="shared" si="53"/>
        <v>0</v>
      </c>
      <c r="G187" s="172"/>
      <c r="H187" s="249">
        <v>0</v>
      </c>
      <c r="I187" s="302">
        <f t="shared" ref="I187" si="54">F187-H187</f>
        <v>0</v>
      </c>
      <c r="L187" s="146"/>
    </row>
    <row r="188" spans="1:12" s="107" customFormat="1">
      <c r="A188" s="106">
        <v>0</v>
      </c>
      <c r="B188" s="74" t="s">
        <v>84</v>
      </c>
      <c r="D188" s="180">
        <v>0</v>
      </c>
      <c r="E188" s="211">
        <f t="shared" si="46"/>
        <v>0</v>
      </c>
      <c r="F188" s="211">
        <f t="shared" si="53"/>
        <v>0</v>
      </c>
      <c r="G188" s="172"/>
      <c r="H188" s="249">
        <v>0</v>
      </c>
      <c r="I188" s="302">
        <f>F188-H188</f>
        <v>0</v>
      </c>
      <c r="L188" s="146"/>
    </row>
    <row r="189" spans="1:12" s="107" customFormat="1">
      <c r="A189" s="106"/>
      <c r="B189" s="74"/>
      <c r="D189" s="183" t="s">
        <v>11</v>
      </c>
      <c r="E189" s="162" t="s">
        <v>11</v>
      </c>
      <c r="F189" s="165" t="s">
        <v>11</v>
      </c>
      <c r="G189" s="172"/>
      <c r="L189" s="146"/>
    </row>
    <row r="190" spans="1:12" s="107" customFormat="1">
      <c r="A190" s="106"/>
      <c r="B190" s="88" t="s">
        <v>105</v>
      </c>
      <c r="D190" s="183" t="s">
        <v>11</v>
      </c>
      <c r="E190" s="162" t="s">
        <v>11</v>
      </c>
      <c r="F190" s="165" t="s">
        <v>11</v>
      </c>
      <c r="G190" s="172"/>
      <c r="L190" s="146"/>
    </row>
    <row r="191" spans="1:12" s="107" customFormat="1">
      <c r="A191" s="106">
        <v>0</v>
      </c>
      <c r="B191" s="74" t="s">
        <v>84</v>
      </c>
      <c r="D191" s="180">
        <v>0</v>
      </c>
      <c r="E191" s="211">
        <f t="shared" ref="E191:E194" si="55">F191-D191</f>
        <v>0</v>
      </c>
      <c r="F191" s="211">
        <f t="shared" ref="F191:F195" si="56">ROUNDUP((D191*fee/5),0)*5</f>
        <v>0</v>
      </c>
      <c r="G191" s="172"/>
      <c r="H191" s="294">
        <v>0</v>
      </c>
      <c r="I191" s="301">
        <f>F191-H191</f>
        <v>0</v>
      </c>
      <c r="L191" s="146"/>
    </row>
    <row r="192" spans="1:12">
      <c r="A192" s="106">
        <v>0</v>
      </c>
      <c r="B192" s="74" t="s">
        <v>84</v>
      </c>
      <c r="D192" s="180">
        <v>0</v>
      </c>
      <c r="E192" s="211">
        <f t="shared" si="55"/>
        <v>0</v>
      </c>
      <c r="F192" s="211">
        <f t="shared" si="56"/>
        <v>0</v>
      </c>
      <c r="G192" s="172"/>
      <c r="H192" s="249">
        <v>0</v>
      </c>
      <c r="I192" s="302">
        <f>F192-H192</f>
        <v>0</v>
      </c>
    </row>
    <row r="193" spans="1:11">
      <c r="A193" s="106">
        <v>0</v>
      </c>
      <c r="B193" s="74" t="s">
        <v>84</v>
      </c>
      <c r="D193" s="180">
        <v>0</v>
      </c>
      <c r="E193" s="211">
        <f t="shared" si="55"/>
        <v>0</v>
      </c>
      <c r="F193" s="211">
        <f t="shared" si="56"/>
        <v>0</v>
      </c>
      <c r="G193" s="172"/>
      <c r="H193" s="249">
        <v>0</v>
      </c>
      <c r="I193" s="302">
        <f t="shared" ref="I193" si="57">F193-H193</f>
        <v>0</v>
      </c>
    </row>
    <row r="194" spans="1:11">
      <c r="A194" s="106">
        <v>0</v>
      </c>
      <c r="B194" s="74" t="s">
        <v>84</v>
      </c>
      <c r="D194" s="180">
        <v>0</v>
      </c>
      <c r="E194" s="211">
        <f t="shared" si="55"/>
        <v>0</v>
      </c>
      <c r="F194" s="211">
        <f t="shared" si="56"/>
        <v>0</v>
      </c>
      <c r="G194" s="172"/>
      <c r="H194" s="249">
        <v>0</v>
      </c>
      <c r="I194" s="302">
        <f>F194-H194</f>
        <v>0</v>
      </c>
    </row>
    <row r="195" spans="1:11">
      <c r="A195" s="106">
        <v>0</v>
      </c>
      <c r="B195" s="74" t="s">
        <v>84</v>
      </c>
      <c r="D195" s="180">
        <v>0</v>
      </c>
      <c r="E195" s="211">
        <f t="shared" si="46"/>
        <v>0</v>
      </c>
      <c r="F195" s="211">
        <f t="shared" si="56"/>
        <v>0</v>
      </c>
      <c r="G195" s="172"/>
      <c r="H195" s="249">
        <v>0</v>
      </c>
      <c r="I195" s="302">
        <f t="shared" ref="I195" si="58">F195-H195</f>
        <v>0</v>
      </c>
    </row>
    <row r="196" spans="1:11">
      <c r="B196" s="74"/>
      <c r="D196" s="162" t="s">
        <v>11</v>
      </c>
      <c r="E196" s="162" t="s">
        <v>11</v>
      </c>
      <c r="F196" s="165" t="s">
        <v>11</v>
      </c>
      <c r="G196" s="172"/>
    </row>
    <row r="197" spans="1:11">
      <c r="A197" s="106">
        <v>1</v>
      </c>
      <c r="B197" s="117" t="s">
        <v>106</v>
      </c>
      <c r="D197" s="228">
        <v>0</v>
      </c>
      <c r="E197" s="211">
        <f>F197-D197</f>
        <v>0</v>
      </c>
      <c r="F197" s="195">
        <v>0</v>
      </c>
      <c r="G197" s="172"/>
      <c r="H197" s="249">
        <v>0</v>
      </c>
      <c r="I197" s="302">
        <f t="shared" ref="I197" si="59">F197-H197</f>
        <v>0</v>
      </c>
    </row>
    <row r="198" spans="1:11">
      <c r="A198" s="106" t="s">
        <v>11</v>
      </c>
      <c r="B198" s="89" t="s">
        <v>11</v>
      </c>
      <c r="D198" s="164"/>
      <c r="E198" s="164" t="s">
        <v>11</v>
      </c>
      <c r="F198" s="231" t="s">
        <v>11</v>
      </c>
      <c r="G198" s="172"/>
    </row>
    <row r="199" spans="1:11" ht="14.1" thickBot="1">
      <c r="B199" s="78" t="s">
        <v>107</v>
      </c>
      <c r="C199" s="80"/>
      <c r="D199" s="207">
        <f>SUM(D166:D198)</f>
        <v>0</v>
      </c>
      <c r="E199" s="207">
        <f>SUM(E166:E198)</f>
        <v>0</v>
      </c>
      <c r="F199" s="194">
        <f>SUM(F166:F198)</f>
        <v>0</v>
      </c>
      <c r="G199" s="166"/>
      <c r="H199" s="316">
        <f>SUM(H166:H198)</f>
        <v>0</v>
      </c>
      <c r="I199" s="239">
        <f>F199-H199</f>
        <v>0</v>
      </c>
      <c r="J199" s="178" t="s">
        <v>11</v>
      </c>
      <c r="K199" s="176" t="s">
        <v>11</v>
      </c>
    </row>
    <row r="200" spans="1:11" ht="14.1" thickTop="1">
      <c r="C200" s="80"/>
      <c r="D200" s="161"/>
      <c r="E200" s="161"/>
      <c r="F200" s="161"/>
      <c r="G200" s="161"/>
      <c r="I200" s="107" t="s">
        <v>11</v>
      </c>
    </row>
    <row r="201" spans="1:11">
      <c r="C201" s="80"/>
      <c r="D201" s="161"/>
      <c r="E201" s="161"/>
      <c r="F201" s="161"/>
      <c r="G201" s="161"/>
    </row>
    <row r="202" spans="1:11">
      <c r="A202" s="146"/>
      <c r="B202" s="81" t="s">
        <v>108</v>
      </c>
      <c r="C202" s="80"/>
      <c r="D202" s="166"/>
      <c r="E202" s="161"/>
      <c r="F202" s="161"/>
      <c r="G202" s="161"/>
      <c r="H202" s="161"/>
      <c r="I202" s="146"/>
      <c r="J202" s="146"/>
    </row>
    <row r="203" spans="1:11" ht="12" customHeight="1">
      <c r="A203" s="146"/>
      <c r="B203" s="143" t="s">
        <v>109</v>
      </c>
      <c r="C203" s="80"/>
      <c r="D203" s="261">
        <f>'Budget show 2'!E34</f>
        <v>0</v>
      </c>
      <c r="E203" s="261">
        <f>'Budget show 2'!G34</f>
        <v>0</v>
      </c>
      <c r="F203" s="262">
        <f>'Budget show 2'!I34</f>
        <v>0</v>
      </c>
      <c r="H203" s="161"/>
      <c r="I203" s="146"/>
      <c r="J203" s="146"/>
    </row>
    <row r="204" spans="1:11" ht="12" customHeight="1">
      <c r="A204" s="146"/>
      <c r="B204" s="143" t="s">
        <v>43</v>
      </c>
      <c r="C204" s="80"/>
      <c r="D204" s="263">
        <f>'Budget show 2'!E35</f>
        <v>0</v>
      </c>
      <c r="E204" s="263">
        <f>'Budget show 2'!G35</f>
        <v>0</v>
      </c>
      <c r="F204" s="264">
        <f>'Budget show 2'!I35</f>
        <v>0</v>
      </c>
      <c r="H204" s="161"/>
      <c r="I204" s="146"/>
      <c r="J204" s="146"/>
    </row>
    <row r="205" spans="1:11" ht="12" customHeight="1">
      <c r="A205" s="146"/>
      <c r="B205" s="143" t="s">
        <v>48</v>
      </c>
      <c r="C205" s="80"/>
      <c r="D205" s="263">
        <f>'Budget show 2'!E40</f>
        <v>0</v>
      </c>
      <c r="E205" s="263">
        <f>'Budget show 2'!G40</f>
        <v>0</v>
      </c>
      <c r="F205" s="264">
        <f>'Budget show 2'!I143</f>
        <v>0</v>
      </c>
      <c r="H205" s="161"/>
      <c r="I205" s="146"/>
      <c r="J205" s="146"/>
    </row>
    <row r="206" spans="1:11" ht="12" customHeight="1">
      <c r="A206" s="146"/>
      <c r="B206" s="143" t="s">
        <v>49</v>
      </c>
      <c r="C206" s="80"/>
      <c r="D206" s="263">
        <f>'Budget show 2'!E41</f>
        <v>0</v>
      </c>
      <c r="E206" s="263">
        <f>'Budget show 2'!G41</f>
        <v>0</v>
      </c>
      <c r="F206" s="264">
        <f>'Budget show 2'!I144</f>
        <v>0</v>
      </c>
      <c r="H206" s="161"/>
      <c r="I206" s="146"/>
      <c r="J206" s="146"/>
    </row>
    <row r="207" spans="1:11" ht="12" customHeight="1">
      <c r="A207" s="146"/>
      <c r="B207" s="143" t="s">
        <v>50</v>
      </c>
      <c r="C207" s="80"/>
      <c r="D207" s="263">
        <f>'Budget show 2'!E42</f>
        <v>0</v>
      </c>
      <c r="E207" s="263">
        <f>'Budget show 2'!G42</f>
        <v>0</v>
      </c>
      <c r="F207" s="264">
        <f>'Budget show 2'!I145</f>
        <v>0</v>
      </c>
      <c r="H207" s="161"/>
      <c r="I207" s="146"/>
      <c r="J207" s="146"/>
    </row>
    <row r="208" spans="1:11" ht="12" customHeight="1">
      <c r="A208" s="146"/>
      <c r="B208" s="143" t="s">
        <v>50</v>
      </c>
      <c r="C208" s="80"/>
      <c r="D208" s="263">
        <f>'Budget show 2'!E43</f>
        <v>0</v>
      </c>
      <c r="E208" s="263">
        <f>'Budget show 2'!G43</f>
        <v>0</v>
      </c>
      <c r="F208" s="264">
        <f>'Budget show 2'!I146</f>
        <v>0</v>
      </c>
      <c r="H208" s="161"/>
      <c r="I208" s="146"/>
      <c r="J208" s="146"/>
    </row>
    <row r="209" spans="1:11" ht="12" customHeight="1">
      <c r="A209" s="146"/>
      <c r="B209" s="260" t="s">
        <v>51</v>
      </c>
      <c r="C209" s="80"/>
      <c r="D209" s="263">
        <f>'Budget show 2'!E44</f>
        <v>0</v>
      </c>
      <c r="E209" s="263">
        <f>'Budget show 2'!G44</f>
        <v>0</v>
      </c>
      <c r="F209" s="264">
        <f>'Budget show 2'!I147</f>
        <v>0</v>
      </c>
      <c r="H209" s="161"/>
      <c r="I209" s="146"/>
      <c r="J209" s="146"/>
    </row>
    <row r="210" spans="1:11" ht="12" customHeight="1">
      <c r="A210" s="146"/>
      <c r="B210" s="143" t="s">
        <v>52</v>
      </c>
      <c r="C210" s="80"/>
      <c r="D210" s="263">
        <f>'Budget show 2'!E45</f>
        <v>0</v>
      </c>
      <c r="E210" s="263">
        <f>'Budget show 2'!G45</f>
        <v>0</v>
      </c>
      <c r="F210" s="118"/>
      <c r="H210" s="161"/>
      <c r="I210" s="146"/>
      <c r="J210" s="146"/>
    </row>
    <row r="211" spans="1:11">
      <c r="A211" s="146"/>
      <c r="B211" s="76" t="s">
        <v>11</v>
      </c>
      <c r="C211" s="80"/>
      <c r="D211" s="110">
        <v>0</v>
      </c>
      <c r="E211" s="119">
        <f>F211-D211</f>
        <v>0</v>
      </c>
      <c r="F211" s="118"/>
      <c r="H211" s="161"/>
      <c r="I211" s="146"/>
      <c r="J211" s="146"/>
    </row>
    <row r="212" spans="1:11">
      <c r="A212" s="146"/>
      <c r="B212" s="76"/>
      <c r="C212" s="80"/>
      <c r="D212" s="110">
        <v>0</v>
      </c>
      <c r="E212" s="119">
        <f>F212-D212</f>
        <v>0</v>
      </c>
      <c r="F212" s="118"/>
      <c r="H212" s="161"/>
      <c r="I212" s="146"/>
      <c r="J212" s="146"/>
    </row>
    <row r="213" spans="1:11">
      <c r="A213" s="146"/>
      <c r="B213" s="76"/>
      <c r="C213" s="80"/>
      <c r="D213" s="110">
        <v>0</v>
      </c>
      <c r="E213" s="119">
        <f>F213-D213</f>
        <v>0</v>
      </c>
      <c r="F213" s="118"/>
      <c r="H213" s="161"/>
      <c r="I213" s="146"/>
      <c r="J213" s="146"/>
    </row>
    <row r="214" spans="1:11">
      <c r="A214" s="146"/>
      <c r="B214" s="76"/>
      <c r="C214" s="80"/>
      <c r="D214" s="110">
        <v>0</v>
      </c>
      <c r="E214" s="119">
        <f>F214-D214</f>
        <v>0</v>
      </c>
      <c r="F214" s="118"/>
      <c r="H214" s="161"/>
      <c r="I214" s="146"/>
      <c r="J214" s="146"/>
    </row>
    <row r="215" spans="1:11">
      <c r="A215" s="146"/>
      <c r="B215" s="82" t="s">
        <v>11</v>
      </c>
      <c r="C215" s="80"/>
      <c r="D215" s="196" t="s">
        <v>11</v>
      </c>
      <c r="E215" s="197" t="s">
        <v>11</v>
      </c>
      <c r="F215" s="144"/>
      <c r="H215" s="154" t="s">
        <v>83</v>
      </c>
      <c r="I215" s="154" t="s">
        <v>77</v>
      </c>
    </row>
    <row r="216" spans="1:11" ht="14.1" thickBot="1">
      <c r="A216" s="146"/>
      <c r="B216" s="97" t="str">
        <f>B202</f>
        <v>Hoynck bv Project Management</v>
      </c>
      <c r="C216" s="80"/>
      <c r="D216" s="217">
        <f>SUM(D203:D215)</f>
        <v>0</v>
      </c>
      <c r="E216" s="217">
        <f>SUM(E203:E215)</f>
        <v>0</v>
      </c>
      <c r="F216" s="192">
        <f>SUM(F203:F215)</f>
        <v>0</v>
      </c>
      <c r="H216" s="167">
        <v>0</v>
      </c>
      <c r="I216" s="168">
        <f>F216-H216</f>
        <v>0</v>
      </c>
    </row>
    <row r="217" spans="1:11" ht="14.1" thickTop="1">
      <c r="C217" s="80"/>
      <c r="D217" s="161"/>
      <c r="E217" s="161"/>
      <c r="F217" s="161"/>
      <c r="G217" s="161"/>
    </row>
    <row r="218" spans="1:11">
      <c r="C218" s="80"/>
      <c r="D218" s="161"/>
      <c r="E218" s="161"/>
      <c r="F218" s="161"/>
      <c r="G218" s="161"/>
    </row>
    <row r="219" spans="1:11">
      <c r="B219" s="81" t="s">
        <v>110</v>
      </c>
      <c r="C219" s="80"/>
      <c r="D219" s="161"/>
      <c r="E219" s="161"/>
      <c r="F219" s="161"/>
      <c r="G219" s="161"/>
    </row>
    <row r="220" spans="1:11">
      <c r="B220" s="74" t="s">
        <v>111</v>
      </c>
      <c r="C220" s="80"/>
      <c r="D220" s="201">
        <f>D160</f>
        <v>1</v>
      </c>
      <c r="E220" s="202">
        <f>E160</f>
        <v>4</v>
      </c>
      <c r="F220" s="198">
        <f>F160</f>
        <v>5</v>
      </c>
      <c r="G220" s="161"/>
      <c r="H220" s="312">
        <f>IFERROR(F220/F223,0)</f>
        <v>1</v>
      </c>
      <c r="K220" s="146"/>
    </row>
    <row r="221" spans="1:11">
      <c r="B221" s="74" t="s">
        <v>112</v>
      </c>
      <c r="C221" s="80"/>
      <c r="D221" s="204">
        <f>D199</f>
        <v>0</v>
      </c>
      <c r="E221" s="203">
        <f>E199</f>
        <v>0</v>
      </c>
      <c r="F221" s="199">
        <f>F199</f>
        <v>0</v>
      </c>
      <c r="G221" s="161"/>
      <c r="H221" s="313">
        <f>IFERROR(F221/F224,0)</f>
        <v>0</v>
      </c>
      <c r="K221" s="146"/>
    </row>
    <row r="222" spans="1:11">
      <c r="B222" s="89" t="s">
        <v>113</v>
      </c>
      <c r="C222" s="80"/>
      <c r="D222" s="205">
        <f>D216</f>
        <v>0</v>
      </c>
      <c r="E222" s="206">
        <f>E216</f>
        <v>0</v>
      </c>
      <c r="F222" s="200">
        <f>F216</f>
        <v>0</v>
      </c>
      <c r="G222" s="161"/>
      <c r="H222" s="314">
        <f>IFERROR(F222/F225,0)</f>
        <v>0</v>
      </c>
      <c r="K222" s="146"/>
    </row>
    <row r="223" spans="1:11" ht="14.1" thickBot="1">
      <c r="B223" s="84" t="s">
        <v>114</v>
      </c>
      <c r="C223" s="80"/>
      <c r="D223" s="207">
        <f>SUM(D220:D222)</f>
        <v>1</v>
      </c>
      <c r="E223" s="208">
        <f>SUM(E220:E222)</f>
        <v>4</v>
      </c>
      <c r="F223" s="192">
        <f>SUM(F220:F222)</f>
        <v>5</v>
      </c>
      <c r="G223" s="166"/>
      <c r="H223" s="86" t="s">
        <v>11</v>
      </c>
      <c r="K223" s="146"/>
    </row>
    <row r="224" spans="1:11" ht="14.1" thickTop="1">
      <c r="C224" s="80"/>
      <c r="D224" s="166"/>
      <c r="E224" s="203">
        <f>F223-D223</f>
        <v>4</v>
      </c>
      <c r="F224" s="185" t="s">
        <v>115</v>
      </c>
      <c r="G224" s="186"/>
      <c r="H224" s="86" t="s">
        <v>11</v>
      </c>
      <c r="K224" s="146"/>
    </row>
    <row r="225" spans="2:11" ht="12" customHeight="1">
      <c r="C225" s="80"/>
      <c r="D225" s="166"/>
      <c r="E225" s="218">
        <f>IFERROR(E223/F223,0)</f>
        <v>0.8</v>
      </c>
      <c r="F225" s="209">
        <f>IFERROR(F223/$A$10,0)</f>
        <v>0</v>
      </c>
      <c r="G225" s="187"/>
      <c r="H225" s="86" t="s">
        <v>11</v>
      </c>
      <c r="K225" s="146"/>
    </row>
    <row r="226" spans="2:11">
      <c r="C226" s="80"/>
      <c r="D226" s="161"/>
      <c r="E226" s="161"/>
      <c r="F226" s="166"/>
      <c r="G226" s="166"/>
      <c r="H226" s="86" t="s">
        <v>11</v>
      </c>
      <c r="J226" s="85"/>
    </row>
    <row r="227" spans="2:11">
      <c r="C227" s="80"/>
      <c r="D227" s="161"/>
      <c r="E227" s="161"/>
      <c r="F227" s="166"/>
      <c r="G227" s="166"/>
      <c r="H227" s="73" t="s">
        <v>83</v>
      </c>
      <c r="I227" s="73" t="s">
        <v>77</v>
      </c>
      <c r="J227" s="85"/>
    </row>
    <row r="228" spans="2:11">
      <c r="B228" s="81" t="s">
        <v>116</v>
      </c>
      <c r="C228" s="72"/>
      <c r="D228" s="188">
        <v>0</v>
      </c>
      <c r="E228" s="212">
        <f t="shared" ref="E228:E229" si="60">F228-D228</f>
        <v>0</v>
      </c>
      <c r="F228" s="191">
        <v>0</v>
      </c>
      <c r="G228" s="161"/>
      <c r="H228" s="229">
        <v>0</v>
      </c>
      <c r="I228" s="267">
        <f>F228-H228</f>
        <v>0</v>
      </c>
      <c r="J228" s="85"/>
    </row>
    <row r="229" spans="2:11">
      <c r="B229" s="81" t="s">
        <v>117</v>
      </c>
      <c r="C229" s="72"/>
      <c r="D229" s="188">
        <v>0</v>
      </c>
      <c r="E229" s="212">
        <f t="shared" si="60"/>
        <v>0</v>
      </c>
      <c r="F229" s="191">
        <v>0</v>
      </c>
      <c r="G229" s="161"/>
      <c r="H229" s="229">
        <v>0</v>
      </c>
      <c r="I229" s="267">
        <f>F229-H229</f>
        <v>0</v>
      </c>
      <c r="J229" s="85"/>
    </row>
    <row r="230" spans="2:11">
      <c r="C230" s="146"/>
      <c r="D230" s="161"/>
      <c r="E230" s="243" t="s">
        <v>118</v>
      </c>
      <c r="F230" s="244">
        <f>IFERROR(F228/F223,0)</f>
        <v>0</v>
      </c>
      <c r="G230" s="189"/>
      <c r="J230" s="85"/>
    </row>
    <row r="231" spans="2:11">
      <c r="C231" s="80"/>
      <c r="D231" s="161"/>
      <c r="E231" s="161"/>
      <c r="F231" s="166"/>
      <c r="G231" s="166"/>
      <c r="J231" s="85"/>
    </row>
    <row r="232" spans="2:11">
      <c r="C232" s="80"/>
      <c r="D232" s="161"/>
      <c r="E232" s="161"/>
      <c r="F232" s="166"/>
      <c r="G232" s="166"/>
      <c r="H232" s="73" t="s">
        <v>83</v>
      </c>
      <c r="I232" s="73" t="s">
        <v>77</v>
      </c>
      <c r="J232" s="85"/>
    </row>
    <row r="233" spans="2:11" ht="14.1" thickBot="1">
      <c r="B233" s="84" t="s">
        <v>119</v>
      </c>
      <c r="C233" s="80"/>
      <c r="D233" s="216">
        <f>D223+D228+D229</f>
        <v>1</v>
      </c>
      <c r="E233" s="255">
        <f>E223+E228+E229</f>
        <v>4</v>
      </c>
      <c r="F233" s="245">
        <f>F223+F228+F229</f>
        <v>5</v>
      </c>
      <c r="G233" s="166"/>
      <c r="H233" s="269">
        <f>H160+H199+H216+H228</f>
        <v>0</v>
      </c>
      <c r="I233" s="268">
        <f>F233-H233</f>
        <v>5</v>
      </c>
      <c r="J233" s="85"/>
      <c r="K233" s="146"/>
    </row>
    <row r="234" spans="2:11" ht="14.1" thickTop="1">
      <c r="C234" s="80"/>
      <c r="D234" s="166"/>
      <c r="E234" s="203">
        <f>F233-D233</f>
        <v>4</v>
      </c>
      <c r="F234" s="185" t="s">
        <v>115</v>
      </c>
      <c r="G234" s="166"/>
      <c r="J234" s="85"/>
      <c r="K234" s="146"/>
    </row>
    <row r="235" spans="2:11">
      <c r="C235" s="80"/>
      <c r="D235" s="166"/>
      <c r="E235" s="218">
        <f>IFERROR(E233/F233,0)</f>
        <v>0.8</v>
      </c>
      <c r="F235" s="209">
        <f>IFERROR(F233/$A$10,0)</f>
        <v>0</v>
      </c>
      <c r="G235" s="166"/>
      <c r="J235" s="85"/>
      <c r="K235" s="146"/>
    </row>
    <row r="236" spans="2:11">
      <c r="C236" s="80"/>
      <c r="D236" s="166"/>
      <c r="E236" s="161"/>
      <c r="F236" s="166"/>
      <c r="G236" s="166"/>
      <c r="J236" s="85"/>
      <c r="K236" s="146"/>
    </row>
    <row r="237" spans="2:11">
      <c r="B237" s="272" t="s">
        <v>38</v>
      </c>
      <c r="C237" s="67"/>
      <c r="D237" s="253"/>
      <c r="E237" s="253"/>
      <c r="F237" s="253"/>
      <c r="G237" s="166"/>
      <c r="J237" s="85"/>
      <c r="K237" s="146"/>
    </row>
    <row r="238" spans="2:11">
      <c r="B238" s="87" t="s">
        <v>120</v>
      </c>
      <c r="C238" s="67"/>
      <c r="D238" s="317">
        <f>'Budget show 2'!E36</f>
        <v>0</v>
      </c>
      <c r="E238" s="257">
        <f>'Budget show 2'!G36</f>
        <v>0</v>
      </c>
      <c r="F238" s="274"/>
      <c r="G238" s="166"/>
      <c r="J238" s="85"/>
      <c r="K238" s="146"/>
    </row>
    <row r="239" spans="2:11">
      <c r="B239" s="74" t="s">
        <v>121</v>
      </c>
      <c r="C239" s="67"/>
      <c r="D239" s="318">
        <f>'Budget show 2'!E37</f>
        <v>0</v>
      </c>
      <c r="E239" s="75">
        <f>'Budget show 2'!G37</f>
        <v>0</v>
      </c>
      <c r="F239" s="275"/>
      <c r="G239" s="166"/>
      <c r="J239" s="85"/>
      <c r="K239" s="146"/>
    </row>
    <row r="240" spans="2:11">
      <c r="B240" s="74" t="s">
        <v>122</v>
      </c>
      <c r="C240" s="67"/>
      <c r="D240" s="318">
        <f>'Budget show 2'!E38</f>
        <v>0</v>
      </c>
      <c r="E240" s="75">
        <f>'Budget show 2'!G38</f>
        <v>0</v>
      </c>
      <c r="F240" s="275"/>
      <c r="G240" s="166"/>
      <c r="J240" s="85"/>
      <c r="K240" s="146"/>
    </row>
    <row r="241" spans="1:11">
      <c r="B241" s="74" t="s">
        <v>123</v>
      </c>
      <c r="C241" s="67"/>
      <c r="D241" s="318">
        <f>'Budget show 2'!E39</f>
        <v>0</v>
      </c>
      <c r="E241" s="75">
        <f>'Budget show 2'!G39</f>
        <v>0</v>
      </c>
      <c r="F241" s="275"/>
      <c r="G241" s="166"/>
      <c r="J241" s="85"/>
      <c r="K241" s="146"/>
    </row>
    <row r="242" spans="1:11">
      <c r="B242" s="74"/>
      <c r="C242" s="67"/>
      <c r="D242" s="276"/>
      <c r="E242" s="77"/>
      <c r="F242" s="275"/>
      <c r="G242" s="166"/>
      <c r="J242" s="85"/>
      <c r="K242" s="146"/>
    </row>
    <row r="243" spans="1:11">
      <c r="B243" s="89" t="s">
        <v>11</v>
      </c>
      <c r="C243" s="67"/>
      <c r="D243" s="277" t="s">
        <v>11</v>
      </c>
      <c r="E243" s="83" t="s">
        <v>11</v>
      </c>
      <c r="F243" s="83" t="s">
        <v>11</v>
      </c>
      <c r="G243" s="166"/>
      <c r="J243" s="85"/>
      <c r="K243" s="146"/>
    </row>
    <row r="244" spans="1:11" ht="14.1" thickBot="1">
      <c r="B244" s="278" t="s">
        <v>124</v>
      </c>
      <c r="C244" s="67"/>
      <c r="D244" s="279">
        <f>SUM(D238:D243)</f>
        <v>0</v>
      </c>
      <c r="E244" s="279">
        <f>SUM(E238:E243)</f>
        <v>0</v>
      </c>
      <c r="F244" s="83" t="s">
        <v>11</v>
      </c>
      <c r="G244" s="166"/>
      <c r="J244" s="85"/>
      <c r="K244" s="146"/>
    </row>
    <row r="245" spans="1:11" ht="14.1" thickTop="1">
      <c r="C245" s="80"/>
      <c r="D245" s="166"/>
      <c r="E245" s="161"/>
      <c r="F245" s="166"/>
      <c r="G245" s="166"/>
      <c r="J245" s="85"/>
      <c r="K245" s="146"/>
    </row>
    <row r="246" spans="1:11" ht="14.1" thickBot="1">
      <c r="B246" s="84" t="s">
        <v>125</v>
      </c>
      <c r="C246" s="333"/>
      <c r="D246" s="280">
        <f>D244+D233</f>
        <v>1</v>
      </c>
      <c r="E246" s="280">
        <f>E244+E233</f>
        <v>4</v>
      </c>
      <c r="F246" s="332">
        <f>F233</f>
        <v>5</v>
      </c>
      <c r="G246" s="166"/>
      <c r="J246" s="85"/>
      <c r="K246" s="146"/>
    </row>
    <row r="247" spans="1:11" ht="14.1" thickTop="1">
      <c r="C247" s="80"/>
      <c r="D247" s="281"/>
      <c r="E247" s="75">
        <f>F246-D246</f>
        <v>4</v>
      </c>
      <c r="F247" s="282" t="s">
        <v>115</v>
      </c>
      <c r="G247" s="166"/>
      <c r="J247" s="85"/>
      <c r="K247" s="146"/>
    </row>
    <row r="248" spans="1:11">
      <c r="C248" s="80"/>
      <c r="D248" s="281"/>
      <c r="E248" s="218">
        <f>IFERROR(E246/F246,0)</f>
        <v>0.8</v>
      </c>
      <c r="F248" s="283">
        <f>IFERROR(F246/$A$10,0)</f>
        <v>0</v>
      </c>
      <c r="G248" s="166"/>
      <c r="J248" s="85"/>
      <c r="K248" s="146"/>
    </row>
    <row r="249" spans="1:11">
      <c r="B249" s="107"/>
      <c r="C249" s="85"/>
      <c r="E249" s="85"/>
      <c r="G249" s="166"/>
      <c r="J249" s="85"/>
      <c r="K249" s="146"/>
    </row>
    <row r="250" spans="1:11">
      <c r="B250" s="81" t="s">
        <v>126</v>
      </c>
      <c r="C250" s="80"/>
      <c r="D250" s="166"/>
      <c r="E250" s="161"/>
      <c r="F250" s="166"/>
      <c r="G250" s="166"/>
      <c r="H250" s="293" t="s">
        <v>83</v>
      </c>
      <c r="I250" s="293" t="s">
        <v>77</v>
      </c>
      <c r="J250" s="85"/>
      <c r="K250" s="146"/>
    </row>
    <row r="251" spans="1:11">
      <c r="A251" s="158">
        <v>0</v>
      </c>
      <c r="B251" s="159" t="s">
        <v>84</v>
      </c>
      <c r="D251" s="273">
        <v>0</v>
      </c>
      <c r="E251" s="292">
        <f>F251-D251</f>
        <v>0</v>
      </c>
      <c r="F251" s="171">
        <f t="shared" ref="F251:F252" si="61">ROUNDUP((D251*fee/5),0)*5</f>
        <v>0</v>
      </c>
      <c r="G251" s="172"/>
      <c r="H251" s="294">
        <v>0</v>
      </c>
      <c r="I251" s="295">
        <f>F251-H251</f>
        <v>0</v>
      </c>
      <c r="J251" s="85"/>
      <c r="K251" s="146"/>
    </row>
    <row r="252" spans="1:11" ht="14.1" thickBot="1">
      <c r="A252" s="106">
        <v>0</v>
      </c>
      <c r="B252" s="89" t="s">
        <v>84</v>
      </c>
      <c r="C252" s="80"/>
      <c r="D252" s="320">
        <v>0</v>
      </c>
      <c r="E252" s="327">
        <f>F252-D252</f>
        <v>0</v>
      </c>
      <c r="F252" s="163">
        <f t="shared" si="61"/>
        <v>0</v>
      </c>
      <c r="G252" s="166"/>
      <c r="H252" s="296">
        <v>0</v>
      </c>
      <c r="I252" s="297">
        <f>F252-H252</f>
        <v>0</v>
      </c>
      <c r="J252" s="85"/>
      <c r="K252" s="146"/>
    </row>
    <row r="253" spans="1:11" ht="15" thickTop="1" thickBot="1">
      <c r="B253" s="278" t="s">
        <v>127</v>
      </c>
      <c r="C253" s="67"/>
      <c r="D253" s="319">
        <f>SUM(D251:D252)</f>
        <v>0</v>
      </c>
      <c r="E253" s="319">
        <f>SUM(E251:E252)</f>
        <v>0</v>
      </c>
      <c r="F253" s="330">
        <f>SUM(F251:F252)</f>
        <v>0</v>
      </c>
      <c r="G253" s="146"/>
      <c r="J253" s="85"/>
      <c r="K253" s="146"/>
    </row>
    <row r="254" spans="1:11" ht="14.1" thickTop="1">
      <c r="C254" s="80"/>
      <c r="D254" s="166"/>
      <c r="E254" s="161"/>
      <c r="F254" s="166"/>
      <c r="G254" s="166"/>
      <c r="J254" s="85"/>
      <c r="K254" s="146"/>
    </row>
    <row r="255" spans="1:11">
      <c r="C255" s="80"/>
      <c r="D255" s="166"/>
      <c r="E255" s="161"/>
      <c r="F255" s="166"/>
      <c r="G255" s="166"/>
      <c r="H255" s="73" t="s">
        <v>83</v>
      </c>
      <c r="I255" s="73" t="s">
        <v>77</v>
      </c>
      <c r="J255" s="85"/>
      <c r="K255" s="146"/>
    </row>
    <row r="256" spans="1:11" ht="14.1" thickBot="1">
      <c r="B256" s="84" t="s">
        <v>128</v>
      </c>
      <c r="C256" s="80"/>
      <c r="D256" s="216">
        <f>D246+D253</f>
        <v>1</v>
      </c>
      <c r="E256" s="216">
        <f>E246+E253</f>
        <v>4</v>
      </c>
      <c r="F256" s="192">
        <f>F246+F253</f>
        <v>5</v>
      </c>
      <c r="G256" s="166"/>
      <c r="H256" s="269">
        <f>H233+H251+H252</f>
        <v>0</v>
      </c>
      <c r="I256" s="268">
        <f>F256-H256</f>
        <v>5</v>
      </c>
      <c r="J256" s="85"/>
      <c r="K256" s="146"/>
    </row>
    <row r="257" spans="2:11" ht="14.1" thickTop="1">
      <c r="C257" s="80"/>
      <c r="D257" s="166"/>
      <c r="E257" s="203">
        <f>F256-D256</f>
        <v>4</v>
      </c>
      <c r="F257" s="185" t="s">
        <v>115</v>
      </c>
      <c r="G257" s="166"/>
      <c r="J257" s="85"/>
      <c r="K257" s="146"/>
    </row>
    <row r="258" spans="2:11">
      <c r="C258" s="80"/>
      <c r="D258" s="166"/>
      <c r="E258" s="218">
        <f>IFERROR(E256/F256,0)</f>
        <v>0.8</v>
      </c>
      <c r="F258" s="209">
        <f>IFERROR(F256/$A$10,0)</f>
        <v>0</v>
      </c>
      <c r="G258" s="166"/>
      <c r="J258" s="85"/>
      <c r="K258" s="146"/>
    </row>
    <row r="259" spans="2:11">
      <c r="C259" s="80"/>
      <c r="D259" s="146"/>
      <c r="E259" s="146"/>
      <c r="F259" s="146"/>
      <c r="G259" s="166"/>
      <c r="J259" s="85"/>
      <c r="K259" s="146"/>
    </row>
    <row r="260" spans="2:11">
      <c r="C260" s="80"/>
      <c r="D260" s="281"/>
      <c r="G260" s="166"/>
      <c r="J260" s="85"/>
      <c r="K260" s="146"/>
    </row>
    <row r="261" spans="2:11">
      <c r="B261" s="272" t="s">
        <v>159</v>
      </c>
      <c r="C261" s="80"/>
      <c r="D261" s="281"/>
      <c r="F261" s="331"/>
      <c r="G261" s="166"/>
      <c r="H261" s="293" t="s">
        <v>83</v>
      </c>
      <c r="I261" s="293" t="s">
        <v>77</v>
      </c>
      <c r="J261" s="85"/>
      <c r="K261" s="146"/>
    </row>
    <row r="262" spans="2:11">
      <c r="B262" s="87"/>
      <c r="C262" s="80"/>
      <c r="D262" s="273">
        <v>0</v>
      </c>
      <c r="E262" s="298">
        <f>F262-D262</f>
        <v>0</v>
      </c>
      <c r="F262" s="163">
        <f t="shared" ref="F262:F263" si="62">ROUNDUP((D262*fee/5),0)*5</f>
        <v>0</v>
      </c>
      <c r="G262" s="146"/>
      <c r="H262" s="294">
        <v>0</v>
      </c>
      <c r="I262" s="295">
        <f>F262-H262</f>
        <v>0</v>
      </c>
      <c r="J262" s="85"/>
      <c r="K262" s="146"/>
    </row>
    <row r="263" spans="2:11" ht="14.1" thickBot="1">
      <c r="B263" s="74"/>
      <c r="C263" s="80"/>
      <c r="D263" s="320">
        <v>0</v>
      </c>
      <c r="E263" s="321">
        <f>F263-D263</f>
        <v>0</v>
      </c>
      <c r="F263" s="163">
        <f t="shared" si="62"/>
        <v>0</v>
      </c>
      <c r="G263" s="146"/>
      <c r="H263" s="296">
        <v>0</v>
      </c>
      <c r="I263" s="297">
        <f>F263-H263</f>
        <v>0</v>
      </c>
      <c r="J263" s="85"/>
      <c r="K263" s="146"/>
    </row>
    <row r="264" spans="2:11" ht="15" thickTop="1" thickBot="1">
      <c r="B264" s="278" t="s">
        <v>130</v>
      </c>
      <c r="C264" s="67"/>
      <c r="D264" s="319">
        <f>SUM(D262:D263)</f>
        <v>0</v>
      </c>
      <c r="E264" s="319">
        <f>SUM(E262:E263)</f>
        <v>0</v>
      </c>
      <c r="F264" s="330">
        <f>SUM(F262:F263)</f>
        <v>0</v>
      </c>
      <c r="G264" s="146"/>
      <c r="J264" s="85"/>
      <c r="K264" s="146"/>
    </row>
    <row r="265" spans="2:11" ht="14.1" thickTop="1">
      <c r="J265" s="85"/>
      <c r="K265" s="146"/>
    </row>
    <row r="266" spans="2:11">
      <c r="C266" s="80"/>
      <c r="D266" s="281"/>
      <c r="F266" s="85"/>
      <c r="G266" s="146"/>
      <c r="H266" s="73" t="s">
        <v>83</v>
      </c>
      <c r="I266" s="73" t="s">
        <v>77</v>
      </c>
      <c r="J266" s="85"/>
      <c r="K266" s="146"/>
    </row>
    <row r="267" spans="2:11" ht="14.1" thickBot="1">
      <c r="B267" s="84" t="s">
        <v>131</v>
      </c>
      <c r="C267" s="333"/>
      <c r="D267" s="280">
        <f>D264+D256</f>
        <v>1</v>
      </c>
      <c r="E267" s="280">
        <f>E256+E264</f>
        <v>4</v>
      </c>
      <c r="F267" s="332">
        <f>F256+F264</f>
        <v>5</v>
      </c>
      <c r="G267" s="146"/>
      <c r="H267" s="269">
        <f>H256+H262+H263</f>
        <v>0</v>
      </c>
      <c r="I267" s="268">
        <f>F267-H267</f>
        <v>5</v>
      </c>
      <c r="J267" s="146"/>
      <c r="K267" s="146"/>
    </row>
    <row r="268" spans="2:11" ht="14.1" thickTop="1">
      <c r="C268" s="80"/>
      <c r="D268" s="281"/>
      <c r="E268" s="75">
        <f>F267-D267</f>
        <v>4</v>
      </c>
      <c r="F268" s="282" t="s">
        <v>115</v>
      </c>
      <c r="G268" s="146"/>
      <c r="J268" s="85"/>
      <c r="K268" s="146"/>
    </row>
    <row r="269" spans="2:11">
      <c r="C269" s="80"/>
      <c r="D269" s="281"/>
      <c r="E269" s="218">
        <f>IFERROR(E267/F267,0)</f>
        <v>0.8</v>
      </c>
      <c r="F269" s="283">
        <f>IFERROR(F267/$A$10,0)</f>
        <v>0</v>
      </c>
      <c r="G269" s="146"/>
      <c r="J269" s="85"/>
      <c r="K269" s="146"/>
    </row>
    <row r="270" spans="2:11">
      <c r="C270" s="80"/>
      <c r="D270" s="281"/>
      <c r="F270" s="85"/>
      <c r="G270" s="146"/>
      <c r="J270" s="85"/>
      <c r="K270" s="146"/>
    </row>
    <row r="271" spans="2:11">
      <c r="B271" s="81" t="s">
        <v>132</v>
      </c>
      <c r="C271" s="80"/>
      <c r="D271" s="166"/>
      <c r="E271" s="161"/>
      <c r="F271" s="166"/>
      <c r="G271" s="146"/>
      <c r="J271" s="85"/>
      <c r="K271" s="146"/>
    </row>
    <row r="272" spans="2:11">
      <c r="B272" s="74" t="s">
        <v>11</v>
      </c>
      <c r="C272" s="80"/>
      <c r="D272" s="241" t="s">
        <v>11</v>
      </c>
      <c r="E272" s="160" t="s">
        <v>11</v>
      </c>
      <c r="F272" s="246" t="s">
        <v>11</v>
      </c>
      <c r="G272" s="146"/>
      <c r="J272" s="85"/>
      <c r="K272" s="146"/>
    </row>
    <row r="273" spans="1:11">
      <c r="B273" s="88" t="s">
        <v>133</v>
      </c>
      <c r="C273" s="80"/>
      <c r="D273" s="183" t="s">
        <v>11</v>
      </c>
      <c r="E273" s="162" t="s">
        <v>11</v>
      </c>
      <c r="F273" s="177" t="s">
        <v>11</v>
      </c>
      <c r="G273" s="146"/>
      <c r="J273" s="85"/>
      <c r="K273" s="146"/>
    </row>
    <row r="274" spans="1:11">
      <c r="B274" s="74" t="s">
        <v>84</v>
      </c>
      <c r="C274" s="80" t="s">
        <v>11</v>
      </c>
      <c r="D274" s="180">
        <v>0</v>
      </c>
      <c r="E274" s="211">
        <f t="shared" ref="E274:E275" si="63">F274-D274</f>
        <v>0</v>
      </c>
      <c r="F274" s="163">
        <f t="shared" ref="F274:F278" si="64">ROUNDUP((D274*fee/5),0)*5</f>
        <v>0</v>
      </c>
      <c r="G274" s="146"/>
      <c r="J274" s="85"/>
      <c r="K274" s="146"/>
    </row>
    <row r="275" spans="1:11">
      <c r="A275" s="106" t="s">
        <v>11</v>
      </c>
      <c r="B275" s="74" t="s">
        <v>84</v>
      </c>
      <c r="C275" s="80"/>
      <c r="D275" s="180">
        <v>0</v>
      </c>
      <c r="E275" s="211">
        <f t="shared" si="63"/>
        <v>0</v>
      </c>
      <c r="F275" s="163">
        <f t="shared" si="64"/>
        <v>0</v>
      </c>
      <c r="G275" s="146"/>
      <c r="J275" s="85"/>
      <c r="K275" s="146"/>
    </row>
    <row r="276" spans="1:11">
      <c r="A276" s="106" t="s">
        <v>11</v>
      </c>
      <c r="B276" s="74" t="s">
        <v>84</v>
      </c>
      <c r="C276" s="80" t="s">
        <v>11</v>
      </c>
      <c r="D276" s="180">
        <v>0</v>
      </c>
      <c r="E276" s="211">
        <f>F276-D276</f>
        <v>0</v>
      </c>
      <c r="F276" s="163">
        <f t="shared" si="64"/>
        <v>0</v>
      </c>
      <c r="G276" s="146"/>
      <c r="J276" s="85"/>
      <c r="K276" s="146"/>
    </row>
    <row r="277" spans="1:11">
      <c r="A277" s="106">
        <v>0</v>
      </c>
      <c r="B277" s="74" t="s">
        <v>84</v>
      </c>
      <c r="C277" s="80" t="s">
        <v>11</v>
      </c>
      <c r="D277" s="180">
        <v>0</v>
      </c>
      <c r="E277" s="211">
        <f t="shared" ref="E277" si="65">F277-D277</f>
        <v>0</v>
      </c>
      <c r="F277" s="163">
        <f t="shared" si="64"/>
        <v>0</v>
      </c>
      <c r="G277" s="146"/>
      <c r="J277" s="85"/>
      <c r="K277" s="146"/>
    </row>
    <row r="278" spans="1:11" ht="14.1" thickBot="1">
      <c r="B278" s="74" t="s">
        <v>84</v>
      </c>
      <c r="C278" s="80" t="s">
        <v>11</v>
      </c>
      <c r="D278" s="324">
        <v>0</v>
      </c>
      <c r="E278" s="325">
        <f>F278-D278</f>
        <v>0</v>
      </c>
      <c r="F278" s="326">
        <f t="shared" si="64"/>
        <v>0</v>
      </c>
      <c r="G278" s="146"/>
      <c r="J278" s="85"/>
      <c r="K278" s="146"/>
    </row>
    <row r="279" spans="1:11" ht="15" thickTop="1" thickBot="1">
      <c r="B279" s="278" t="s">
        <v>134</v>
      </c>
      <c r="C279" s="250"/>
      <c r="D279" s="322">
        <f>SUM(D274:D278)</f>
        <v>0</v>
      </c>
      <c r="E279" s="322">
        <f>SUM(E274:E278)</f>
        <v>0</v>
      </c>
      <c r="F279" s="323">
        <f>SUM(F274:F278)</f>
        <v>0</v>
      </c>
      <c r="G279" s="146"/>
      <c r="J279" s="85"/>
      <c r="K279" s="146"/>
    </row>
    <row r="280" spans="1:11" ht="14.1" thickTop="1">
      <c r="B280" s="252"/>
      <c r="C280" s="250"/>
      <c r="D280" s="251"/>
      <c r="E280" s="251"/>
      <c r="F280" s="251"/>
      <c r="G280" s="146"/>
      <c r="J280" s="85"/>
      <c r="K280" s="146"/>
    </row>
    <row r="281" spans="1:11">
      <c r="C281" s="80"/>
      <c r="D281" s="281"/>
      <c r="F281" s="85"/>
      <c r="G281" s="146"/>
      <c r="H281" s="73" t="s">
        <v>83</v>
      </c>
      <c r="I281" s="73" t="s">
        <v>77</v>
      </c>
      <c r="J281" s="85"/>
      <c r="K281" s="146"/>
    </row>
    <row r="282" spans="1:11" ht="14.1" thickBot="1">
      <c r="B282" s="84" t="s">
        <v>135</v>
      </c>
      <c r="C282" s="333"/>
      <c r="D282" s="280">
        <f>D279+D267</f>
        <v>1</v>
      </c>
      <c r="E282" s="280">
        <f>E279+E267</f>
        <v>4</v>
      </c>
      <c r="F282" s="332">
        <f>F279+F267</f>
        <v>5</v>
      </c>
      <c r="G282" s="146"/>
      <c r="H282" s="238">
        <f>H267+F279</f>
        <v>0</v>
      </c>
      <c r="I282" s="268">
        <f>F282-H282</f>
        <v>5</v>
      </c>
      <c r="J282" s="85"/>
      <c r="K282" s="146"/>
    </row>
    <row r="283" spans="1:11" ht="14.1" thickTop="1">
      <c r="C283" s="80"/>
      <c r="D283" s="281"/>
      <c r="E283" s="75">
        <f>F282-D282</f>
        <v>4</v>
      </c>
      <c r="F283" s="282" t="s">
        <v>115</v>
      </c>
      <c r="G283" s="146"/>
      <c r="J283" s="85"/>
      <c r="K283" s="146"/>
    </row>
    <row r="284" spans="1:11">
      <c r="C284" s="80"/>
      <c r="D284" s="281"/>
      <c r="E284" s="218">
        <f>IFERROR(E282/F282,0)</f>
        <v>0.8</v>
      </c>
      <c r="F284" s="283">
        <f>IFERROR(F282/$A$10,0)</f>
        <v>0</v>
      </c>
      <c r="G284" s="146"/>
      <c r="J284" s="85"/>
      <c r="K284" s="146"/>
    </row>
    <row r="285" spans="1:11">
      <c r="C285" s="80"/>
      <c r="D285" s="166"/>
      <c r="F285" s="85"/>
      <c r="G285" s="146"/>
      <c r="J285" s="85"/>
      <c r="K285" s="146"/>
    </row>
    <row r="286" spans="1:11">
      <c r="B286" s="81" t="s">
        <v>136</v>
      </c>
      <c r="C286" s="80"/>
      <c r="D286" s="166"/>
      <c r="E286" s="161"/>
      <c r="F286" s="166"/>
      <c r="G286" s="166"/>
      <c r="J286" s="85"/>
      <c r="K286" s="146"/>
    </row>
    <row r="287" spans="1:11">
      <c r="A287" s="106" t="s">
        <v>11</v>
      </c>
      <c r="B287" s="87" t="s">
        <v>11</v>
      </c>
      <c r="C287" s="80"/>
      <c r="D287" s="241" t="s">
        <v>11</v>
      </c>
      <c r="E287" s="160" t="s">
        <v>11</v>
      </c>
      <c r="F287" s="246" t="s">
        <v>11</v>
      </c>
      <c r="G287" s="174"/>
      <c r="J287" s="85"/>
      <c r="K287" s="146"/>
    </row>
    <row r="288" spans="1:11">
      <c r="A288" s="106">
        <v>0</v>
      </c>
      <c r="B288" s="74" t="s">
        <v>84</v>
      </c>
      <c r="C288" s="80"/>
      <c r="D288" s="180">
        <v>0</v>
      </c>
      <c r="E288" s="211">
        <f t="shared" ref="E288" si="66">F288-D288</f>
        <v>0</v>
      </c>
      <c r="F288" s="211">
        <f t="shared" ref="F288:F296" si="67">ROUNDUP((D288*fee/5),0)*5</f>
        <v>0</v>
      </c>
      <c r="G288" s="174"/>
      <c r="J288" s="85"/>
      <c r="K288" s="146"/>
    </row>
    <row r="289" spans="1:11">
      <c r="A289" s="106">
        <v>0</v>
      </c>
      <c r="B289" s="74" t="s">
        <v>84</v>
      </c>
      <c r="C289" s="80"/>
      <c r="D289" s="180">
        <v>0</v>
      </c>
      <c r="E289" s="211">
        <f>F289-D289</f>
        <v>0</v>
      </c>
      <c r="F289" s="211">
        <f t="shared" si="67"/>
        <v>0</v>
      </c>
      <c r="G289" s="174"/>
      <c r="J289" s="85"/>
      <c r="K289" s="146"/>
    </row>
    <row r="290" spans="1:11">
      <c r="A290" s="106">
        <v>0</v>
      </c>
      <c r="B290" s="74" t="s">
        <v>84</v>
      </c>
      <c r="C290" s="80"/>
      <c r="D290" s="180">
        <v>0</v>
      </c>
      <c r="E290" s="211">
        <f t="shared" ref="E290:E292" si="68">F290-D290</f>
        <v>0</v>
      </c>
      <c r="F290" s="211">
        <f t="shared" si="67"/>
        <v>0</v>
      </c>
      <c r="G290" s="174"/>
      <c r="J290" s="85"/>
      <c r="K290" s="146"/>
    </row>
    <row r="291" spans="1:11">
      <c r="A291" s="106">
        <v>0</v>
      </c>
      <c r="B291" s="74" t="s">
        <v>84</v>
      </c>
      <c r="C291" s="80"/>
      <c r="D291" s="180">
        <v>0</v>
      </c>
      <c r="E291" s="211">
        <f t="shared" si="68"/>
        <v>0</v>
      </c>
      <c r="F291" s="211">
        <f t="shared" si="67"/>
        <v>0</v>
      </c>
      <c r="G291" s="174"/>
      <c r="J291" s="85"/>
      <c r="K291" s="146"/>
    </row>
    <row r="292" spans="1:11">
      <c r="A292" s="106">
        <v>0</v>
      </c>
      <c r="B292" s="74" t="s">
        <v>84</v>
      </c>
      <c r="C292" s="80"/>
      <c r="D292" s="180">
        <v>0</v>
      </c>
      <c r="E292" s="211">
        <f t="shared" si="68"/>
        <v>0</v>
      </c>
      <c r="F292" s="211">
        <f t="shared" si="67"/>
        <v>0</v>
      </c>
      <c r="G292" s="174"/>
      <c r="J292" s="85"/>
      <c r="K292" s="146"/>
    </row>
    <row r="293" spans="1:11">
      <c r="A293" s="106">
        <v>0</v>
      </c>
      <c r="B293" s="74" t="s">
        <v>84</v>
      </c>
      <c r="C293" s="80"/>
      <c r="D293" s="180">
        <v>0</v>
      </c>
      <c r="E293" s="211">
        <f>F293-D293</f>
        <v>0</v>
      </c>
      <c r="F293" s="211">
        <f t="shared" si="67"/>
        <v>0</v>
      </c>
      <c r="G293" s="174"/>
      <c r="H293" s="85"/>
      <c r="K293" s="146"/>
    </row>
    <row r="294" spans="1:11" ht="15.95">
      <c r="A294" s="106">
        <v>0</v>
      </c>
      <c r="B294" s="74" t="s">
        <v>84</v>
      </c>
      <c r="C294" s="80"/>
      <c r="D294" s="180">
        <v>0</v>
      </c>
      <c r="E294" s="211">
        <f t="shared" ref="E294:E296" si="69">F294-D294</f>
        <v>0</v>
      </c>
      <c r="F294" s="211">
        <f t="shared" si="67"/>
        <v>0</v>
      </c>
      <c r="G294" s="174"/>
      <c r="H294" s="85" t="s">
        <v>11</v>
      </c>
      <c r="I294" s="247" t="s">
        <v>11</v>
      </c>
      <c r="K294" s="146"/>
    </row>
    <row r="295" spans="1:11">
      <c r="A295" s="106">
        <v>0</v>
      </c>
      <c r="B295" s="74" t="s">
        <v>84</v>
      </c>
      <c r="C295" s="80"/>
      <c r="D295" s="180">
        <v>0</v>
      </c>
      <c r="E295" s="211">
        <f t="shared" si="69"/>
        <v>0</v>
      </c>
      <c r="F295" s="211">
        <f t="shared" si="67"/>
        <v>0</v>
      </c>
      <c r="G295" s="174"/>
      <c r="H295" s="85"/>
      <c r="K295" s="146"/>
    </row>
    <row r="296" spans="1:11">
      <c r="A296" s="106">
        <v>0</v>
      </c>
      <c r="B296" s="74" t="s">
        <v>84</v>
      </c>
      <c r="C296" s="80"/>
      <c r="D296" s="180">
        <v>0</v>
      </c>
      <c r="E296" s="211">
        <f t="shared" si="69"/>
        <v>0</v>
      </c>
      <c r="F296" s="211">
        <f t="shared" si="67"/>
        <v>0</v>
      </c>
      <c r="G296" s="174"/>
      <c r="H296" s="85" t="s">
        <v>11</v>
      </c>
      <c r="K296" s="146"/>
    </row>
    <row r="297" spans="1:11">
      <c r="B297" s="89"/>
      <c r="C297" s="80"/>
      <c r="D297" s="190"/>
      <c r="E297" s="184"/>
      <c r="F297" s="248"/>
      <c r="G297" s="166"/>
      <c r="H297" s="73" t="s">
        <v>83</v>
      </c>
      <c r="I297" s="73" t="s">
        <v>77</v>
      </c>
      <c r="J297" s="85"/>
      <c r="K297" s="146"/>
    </row>
    <row r="298" spans="1:11">
      <c r="B298" s="97" t="s">
        <v>137</v>
      </c>
      <c r="C298" s="80"/>
      <c r="D298" s="256">
        <f>SUM(D288:D297)</f>
        <v>0</v>
      </c>
      <c r="E298" s="256">
        <f>SUM(E288:E297)</f>
        <v>0</v>
      </c>
      <c r="F298" s="191">
        <f>SUM(F288:F297)</f>
        <v>0</v>
      </c>
      <c r="G298" s="166"/>
      <c r="H298" s="229">
        <v>0</v>
      </c>
      <c r="I298" s="267">
        <f>F298-H298</f>
        <v>0</v>
      </c>
      <c r="J298" s="85"/>
      <c r="K298" s="146"/>
    </row>
    <row r="299" spans="1:11">
      <c r="C299" s="80"/>
      <c r="D299" s="166"/>
      <c r="E299" s="161"/>
      <c r="F299" s="166"/>
      <c r="G299" s="166"/>
      <c r="J299" s="85"/>
      <c r="K299" s="146"/>
    </row>
    <row r="300" spans="1:11">
      <c r="C300" s="80"/>
      <c r="D300" s="166"/>
      <c r="E300" s="161"/>
      <c r="F300" s="166"/>
      <c r="G300" s="166"/>
      <c r="J300" s="85"/>
      <c r="K300" s="146"/>
    </row>
    <row r="301" spans="1:11">
      <c r="C301" s="80"/>
      <c r="D301" s="166"/>
      <c r="E301" s="161"/>
      <c r="F301" s="166"/>
      <c r="G301" s="166"/>
      <c r="H301" s="73" t="s">
        <v>83</v>
      </c>
      <c r="I301" s="73" t="s">
        <v>77</v>
      </c>
    </row>
    <row r="302" spans="1:11" ht="14.1" thickBot="1">
      <c r="B302" s="299" t="s">
        <v>138</v>
      </c>
      <c r="C302" s="80"/>
      <c r="D302" s="216">
        <f>D282+D298</f>
        <v>1</v>
      </c>
      <c r="E302" s="216">
        <f>E298+E267</f>
        <v>4</v>
      </c>
      <c r="F302" s="192">
        <f>F298+F267</f>
        <v>5</v>
      </c>
      <c r="G302" s="166"/>
      <c r="H302" s="229">
        <v>0</v>
      </c>
      <c r="I302" s="267">
        <f>F302-H302</f>
        <v>5</v>
      </c>
      <c r="K302" s="146"/>
    </row>
    <row r="303" spans="1:11" ht="14.1" thickTop="1">
      <c r="C303" s="80"/>
      <c r="D303" s="166"/>
      <c r="E303" s="203">
        <f>F302-D302</f>
        <v>4</v>
      </c>
      <c r="F303" s="185" t="s">
        <v>115</v>
      </c>
      <c r="G303" s="166"/>
      <c r="J303" s="85"/>
      <c r="K303" s="146"/>
    </row>
    <row r="304" spans="1:11">
      <c r="C304" s="80"/>
      <c r="D304" s="166"/>
      <c r="E304" s="218">
        <f>IFERROR(E302/F302,0)</f>
        <v>0.8</v>
      </c>
      <c r="F304" s="209">
        <f>IFERROR(F302/$A$10,0)</f>
        <v>0</v>
      </c>
      <c r="G304" s="166"/>
      <c r="J304" s="85"/>
      <c r="K304" s="146"/>
    </row>
    <row r="305" spans="1:11">
      <c r="C305" s="80"/>
      <c r="D305" s="166"/>
      <c r="E305" s="161"/>
      <c r="F305" s="166"/>
      <c r="G305" s="166"/>
      <c r="J305" s="85"/>
      <c r="K305" s="146"/>
    </row>
    <row r="306" spans="1:11">
      <c r="B306" s="81" t="s">
        <v>139</v>
      </c>
      <c r="C306" s="80"/>
      <c r="D306" s="161"/>
      <c r="E306" s="161"/>
      <c r="F306" s="334"/>
      <c r="G306" s="166"/>
      <c r="J306" s="85"/>
      <c r="K306" s="146"/>
    </row>
    <row r="307" spans="1:11">
      <c r="B307" s="87" t="s">
        <v>11</v>
      </c>
      <c r="C307" s="80"/>
      <c r="D307" s="289">
        <v>0</v>
      </c>
      <c r="E307" s="202">
        <f>F307-D307</f>
        <v>0</v>
      </c>
      <c r="F307" s="211">
        <f>ROUNDUP((D307*1.1/5),0)*5</f>
        <v>0</v>
      </c>
      <c r="G307" s="166"/>
      <c r="J307" s="85"/>
      <c r="K307" s="146"/>
    </row>
    <row r="308" spans="1:11">
      <c r="B308" s="74"/>
      <c r="C308" s="80"/>
      <c r="D308" s="290">
        <v>0</v>
      </c>
      <c r="E308" s="203">
        <f>F308-D308</f>
        <v>0</v>
      </c>
      <c r="F308" s="211">
        <f t="shared" ref="F308:F309" si="70">ROUNDUP((D308*1.1/5),0)*5</f>
        <v>0</v>
      </c>
      <c r="G308" s="166"/>
      <c r="J308" s="85"/>
      <c r="K308" s="146"/>
    </row>
    <row r="309" spans="1:11">
      <c r="B309" s="89"/>
      <c r="C309" s="80"/>
      <c r="D309" s="291">
        <v>0</v>
      </c>
      <c r="E309" s="206">
        <f>F309-D309</f>
        <v>0</v>
      </c>
      <c r="F309" s="211">
        <f t="shared" si="70"/>
        <v>0</v>
      </c>
      <c r="G309" s="166"/>
      <c r="J309" s="85"/>
      <c r="K309" s="146"/>
    </row>
    <row r="310" spans="1:11">
      <c r="B310" s="89"/>
      <c r="C310" s="80"/>
      <c r="D310" s="190"/>
      <c r="E310" s="184"/>
      <c r="F310" s="248"/>
      <c r="G310" s="166"/>
      <c r="H310" s="73" t="s">
        <v>83</v>
      </c>
      <c r="I310" s="73" t="s">
        <v>77</v>
      </c>
      <c r="J310" s="85"/>
      <c r="K310" s="146"/>
    </row>
    <row r="311" spans="1:11">
      <c r="B311" s="97" t="s">
        <v>140</v>
      </c>
      <c r="C311" s="80"/>
      <c r="D311" s="256">
        <f>SUM(D307:D310)</f>
        <v>0</v>
      </c>
      <c r="E311" s="256">
        <f>SUM(E307:E310)</f>
        <v>0</v>
      </c>
      <c r="F311" s="191">
        <f>SUM(F307:F310)</f>
        <v>0</v>
      </c>
      <c r="G311" s="166"/>
      <c r="H311" s="229">
        <v>0</v>
      </c>
      <c r="I311" s="267">
        <f>F311-H311</f>
        <v>0</v>
      </c>
      <c r="J311" s="85"/>
      <c r="K311" s="146"/>
    </row>
    <row r="312" spans="1:11">
      <c r="C312" s="80"/>
      <c r="D312" s="161"/>
      <c r="E312" s="161"/>
      <c r="F312" s="166"/>
      <c r="G312" s="166"/>
      <c r="J312" s="85"/>
      <c r="K312" s="146"/>
    </row>
    <row r="313" spans="1:11">
      <c r="C313" s="80"/>
      <c r="D313" s="161"/>
      <c r="E313" s="161"/>
      <c r="F313" s="166"/>
      <c r="G313" s="166"/>
      <c r="H313" s="107" t="s">
        <v>11</v>
      </c>
      <c r="J313" s="85"/>
      <c r="K313" s="146"/>
    </row>
    <row r="314" spans="1:11" ht="14.1" thickBot="1">
      <c r="B314" s="299" t="s">
        <v>141</v>
      </c>
      <c r="C314" s="80"/>
      <c r="D314" s="216">
        <f>D302+D311</f>
        <v>1</v>
      </c>
      <c r="E314" s="255">
        <f>E302+E311</f>
        <v>4</v>
      </c>
      <c r="F314" s="245">
        <f>F302+F311</f>
        <v>5</v>
      </c>
      <c r="G314" s="166"/>
      <c r="J314" s="85"/>
      <c r="K314" s="146"/>
    </row>
    <row r="315" spans="1:11" ht="14.1" thickTop="1">
      <c r="C315" s="80"/>
      <c r="D315" s="166"/>
      <c r="E315" s="203">
        <f>F314-D314</f>
        <v>4</v>
      </c>
      <c r="F315" s="185" t="s">
        <v>115</v>
      </c>
      <c r="G315" s="166"/>
      <c r="J315" s="85"/>
      <c r="K315" s="146"/>
    </row>
    <row r="316" spans="1:11">
      <c r="C316" s="80"/>
      <c r="D316" s="166"/>
      <c r="E316" s="218">
        <f>IFERROR(E314/F314,0)</f>
        <v>0.8</v>
      </c>
      <c r="F316" s="209">
        <f>IFERROR(F314/$A$10,0)</f>
        <v>0</v>
      </c>
      <c r="G316" s="166"/>
      <c r="J316" s="85"/>
      <c r="K316" s="146"/>
    </row>
    <row r="317" spans="1:11">
      <c r="C317" s="80"/>
      <c r="D317" s="166"/>
      <c r="E317" s="161"/>
      <c r="F317" s="166"/>
      <c r="G317" s="166"/>
      <c r="J317" s="85"/>
      <c r="K317" s="146"/>
    </row>
    <row r="318" spans="1:11" s="252" customFormat="1">
      <c r="A318" s="106" t="s">
        <v>11</v>
      </c>
      <c r="B318" s="146"/>
      <c r="C318" s="80"/>
      <c r="D318" s="161"/>
      <c r="E318" s="161"/>
      <c r="F318" s="166"/>
      <c r="G318" s="161"/>
      <c r="H318" s="169" t="s">
        <v>11</v>
      </c>
      <c r="I318" s="80" t="s">
        <v>11</v>
      </c>
      <c r="J318" s="250"/>
    </row>
    <row r="319" spans="1:11">
      <c r="C319" s="80"/>
      <c r="D319" s="161"/>
      <c r="E319" s="161"/>
      <c r="F319" s="166"/>
      <c r="G319" s="161"/>
      <c r="I319" s="80"/>
      <c r="J319" s="85"/>
      <c r="K319" s="146"/>
    </row>
    <row r="320" spans="1:11">
      <c r="B320" s="90" t="s">
        <v>143</v>
      </c>
      <c r="C320" s="80"/>
      <c r="D320" s="266" t="s">
        <v>143</v>
      </c>
      <c r="E320" s="111" t="s">
        <v>144</v>
      </c>
      <c r="F320" s="111" t="s">
        <v>77</v>
      </c>
      <c r="G320" s="166"/>
      <c r="H320" s="169" t="s">
        <v>11</v>
      </c>
      <c r="I320" s="80" t="s">
        <v>11</v>
      </c>
      <c r="J320" s="85" t="s">
        <v>11</v>
      </c>
    </row>
    <row r="321" spans="1:12">
      <c r="B321" s="87" t="s">
        <v>145</v>
      </c>
      <c r="D321" s="108">
        <v>0</v>
      </c>
      <c r="E321" s="265">
        <f>'Budget show 1'!E52</f>
        <v>0</v>
      </c>
      <c r="F321" s="112">
        <f>D389-E321</f>
        <v>1</v>
      </c>
      <c r="G321" s="166"/>
      <c r="I321" s="80"/>
      <c r="J321" s="85"/>
    </row>
    <row r="322" spans="1:12">
      <c r="B322" s="74" t="s">
        <v>90</v>
      </c>
      <c r="D322" s="109">
        <v>0</v>
      </c>
      <c r="F322" s="120">
        <f>IFERROR(F321/E321,0)</f>
        <v>0</v>
      </c>
      <c r="G322" s="166"/>
      <c r="I322" s="80"/>
      <c r="J322" s="85"/>
    </row>
    <row r="323" spans="1:12" s="107" customFormat="1">
      <c r="A323" s="106"/>
      <c r="B323" s="74" t="s">
        <v>146</v>
      </c>
      <c r="D323" s="173">
        <v>0</v>
      </c>
      <c r="E323" s="253"/>
      <c r="F323" s="253"/>
      <c r="G323" s="161"/>
      <c r="J323" s="85"/>
      <c r="L323" s="146"/>
    </row>
    <row r="324" spans="1:12" s="107" customFormat="1">
      <c r="A324" s="106"/>
      <c r="B324" s="74"/>
      <c r="D324" s="336">
        <v>0</v>
      </c>
      <c r="E324" s="253"/>
      <c r="F324" s="253"/>
      <c r="G324" s="161"/>
      <c r="J324" s="85"/>
      <c r="L324" s="146"/>
    </row>
    <row r="325" spans="1:12" s="107" customFormat="1">
      <c r="A325" s="106"/>
      <c r="B325" s="91" t="s">
        <v>147</v>
      </c>
      <c r="D325" s="75">
        <f>SUM(D321:D324)</f>
        <v>0</v>
      </c>
      <c r="E325" s="253"/>
      <c r="F325" s="253"/>
      <c r="G325" s="161"/>
      <c r="J325" s="85"/>
      <c r="L325" s="146"/>
    </row>
    <row r="326" spans="1:12" s="107" customFormat="1">
      <c r="A326" s="106"/>
      <c r="B326" s="92" t="s">
        <v>148</v>
      </c>
      <c r="D326" s="258">
        <f>D160+D199</f>
        <v>1</v>
      </c>
      <c r="E326" s="253"/>
      <c r="F326" s="253"/>
      <c r="G326" s="161"/>
      <c r="L326" s="146"/>
    </row>
    <row r="327" spans="1:12" s="107" customFormat="1">
      <c r="A327" s="106"/>
      <c r="B327" s="92" t="s">
        <v>77</v>
      </c>
      <c r="D327" s="254">
        <f>D325-D326</f>
        <v>-1</v>
      </c>
      <c r="E327" s="253"/>
      <c r="F327" s="253"/>
      <c r="G327" s="161"/>
      <c r="L327" s="146"/>
    </row>
    <row r="328" spans="1:12" s="107" customFormat="1">
      <c r="A328" s="106"/>
      <c r="B328" s="74"/>
      <c r="C328" s="67"/>
      <c r="D328" s="77"/>
      <c r="E328" s="253"/>
      <c r="F328" s="253"/>
      <c r="G328" s="161"/>
      <c r="L328" s="146"/>
    </row>
    <row r="329" spans="1:12" s="107" customFormat="1">
      <c r="A329" s="106"/>
      <c r="B329" s="88" t="s">
        <v>38</v>
      </c>
      <c r="C329" s="67"/>
      <c r="D329" s="77"/>
      <c r="E329" s="253"/>
      <c r="F329" s="253"/>
      <c r="G329" s="161"/>
      <c r="L329" s="146"/>
    </row>
    <row r="330" spans="1:12" s="107" customFormat="1">
      <c r="A330" s="106"/>
      <c r="B330" s="143" t="s">
        <v>52</v>
      </c>
      <c r="C330" s="67"/>
      <c r="D330" s="75">
        <f>D210</f>
        <v>0</v>
      </c>
      <c r="E330" s="253"/>
      <c r="F330" s="253"/>
      <c r="G330" s="161"/>
      <c r="L330" s="146"/>
    </row>
    <row r="331" spans="1:12" s="107" customFormat="1">
      <c r="A331" s="106"/>
      <c r="B331" s="143" t="s">
        <v>149</v>
      </c>
      <c r="C331" s="67"/>
      <c r="D331" s="109">
        <f>'Budget show 2'!E34</f>
        <v>0</v>
      </c>
      <c r="E331" s="253"/>
      <c r="F331" s="253"/>
      <c r="G331" s="161"/>
      <c r="L331" s="146"/>
    </row>
    <row r="332" spans="1:12" s="107" customFormat="1">
      <c r="A332" s="106"/>
      <c r="B332" s="143" t="s">
        <v>43</v>
      </c>
      <c r="C332" s="67"/>
      <c r="D332" s="109">
        <f>'Budget show 2'!E35</f>
        <v>0</v>
      </c>
      <c r="E332" s="253"/>
      <c r="F332" s="253"/>
      <c r="G332" s="161"/>
      <c r="L332" s="146"/>
    </row>
    <row r="333" spans="1:12" s="107" customFormat="1">
      <c r="A333" s="106"/>
      <c r="B333" s="74" t="s">
        <v>120</v>
      </c>
      <c r="C333" s="67"/>
      <c r="D333" s="110">
        <f>'Budget show 2'!E36</f>
        <v>0</v>
      </c>
      <c r="E333" s="253"/>
      <c r="F333" s="253"/>
      <c r="G333" s="161"/>
      <c r="L333" s="146"/>
    </row>
    <row r="334" spans="1:12" s="107" customFormat="1">
      <c r="A334" s="106"/>
      <c r="B334" s="74" t="s">
        <v>121</v>
      </c>
      <c r="C334" s="67"/>
      <c r="D334" s="110">
        <f>'Budget show 2'!E37</f>
        <v>0</v>
      </c>
      <c r="E334" s="253"/>
      <c r="F334" s="253"/>
      <c r="G334" s="161"/>
      <c r="L334" s="146"/>
    </row>
    <row r="335" spans="1:12" s="107" customFormat="1">
      <c r="A335" s="106"/>
      <c r="B335" s="74" t="s">
        <v>122</v>
      </c>
      <c r="C335" s="67"/>
      <c r="D335" s="110">
        <f>'Budget show 2'!E38</f>
        <v>0</v>
      </c>
      <c r="E335" s="253"/>
      <c r="F335" s="253"/>
      <c r="G335" s="161"/>
      <c r="L335" s="146"/>
    </row>
    <row r="336" spans="1:12" s="107" customFormat="1">
      <c r="A336" s="106"/>
      <c r="B336" s="74" t="s">
        <v>123</v>
      </c>
      <c r="C336" s="67"/>
      <c r="D336" s="110">
        <f>'Budget show 2'!E39</f>
        <v>0</v>
      </c>
      <c r="E336" s="253"/>
      <c r="F336" s="253"/>
      <c r="G336" s="161"/>
      <c r="L336" s="146"/>
    </row>
    <row r="337" spans="1:12" s="107" customFormat="1">
      <c r="A337" s="106"/>
      <c r="B337" s="143" t="s">
        <v>48</v>
      </c>
      <c r="C337" s="67"/>
      <c r="D337" s="109">
        <f>'Budget show 2'!E40</f>
        <v>0</v>
      </c>
      <c r="E337" s="253"/>
      <c r="F337" s="253"/>
      <c r="G337" s="161"/>
      <c r="L337" s="146"/>
    </row>
    <row r="338" spans="1:12" s="107" customFormat="1">
      <c r="A338" s="106"/>
      <c r="B338" s="143" t="s">
        <v>49</v>
      </c>
      <c r="C338" s="67"/>
      <c r="D338" s="109">
        <f>'Budget show 2'!E41</f>
        <v>0</v>
      </c>
      <c r="E338" s="253"/>
      <c r="F338" s="253"/>
      <c r="G338" s="161"/>
      <c r="L338" s="146"/>
    </row>
    <row r="339" spans="1:12" s="107" customFormat="1">
      <c r="A339" s="106"/>
      <c r="B339" s="143" t="s">
        <v>50</v>
      </c>
      <c r="C339" s="67"/>
      <c r="D339" s="109">
        <f>'Budget show 2'!E42</f>
        <v>0</v>
      </c>
      <c r="E339" s="253"/>
      <c r="F339" s="253"/>
      <c r="G339" s="161"/>
      <c r="L339" s="146"/>
    </row>
    <row r="340" spans="1:12" s="107" customFormat="1">
      <c r="A340" s="106"/>
      <c r="B340" s="143" t="s">
        <v>50</v>
      </c>
      <c r="C340" s="67"/>
      <c r="D340" s="110">
        <f>'Budget show 2'!E43</f>
        <v>0</v>
      </c>
      <c r="E340" s="253"/>
      <c r="F340" s="253"/>
      <c r="G340" s="161"/>
      <c r="L340" s="146"/>
    </row>
    <row r="341" spans="1:12" s="107" customFormat="1">
      <c r="A341" s="106"/>
      <c r="B341" s="143" t="s">
        <v>150</v>
      </c>
      <c r="C341" s="67"/>
      <c r="D341" s="337">
        <f>'Budget show 2'!E44</f>
        <v>0</v>
      </c>
      <c r="E341" s="253"/>
      <c r="F341" s="253"/>
      <c r="G341" s="161"/>
      <c r="L341" s="146"/>
    </row>
    <row r="342" spans="1:12" s="107" customFormat="1">
      <c r="A342" s="106"/>
      <c r="B342" s="91" t="s">
        <v>147</v>
      </c>
      <c r="D342" s="75">
        <f>SUM(D330:D341)</f>
        <v>0</v>
      </c>
      <c r="E342" s="253"/>
      <c r="F342" s="253"/>
      <c r="G342" s="161"/>
      <c r="J342" s="85"/>
      <c r="L342" s="146"/>
    </row>
    <row r="343" spans="1:12" s="107" customFormat="1">
      <c r="A343" s="106"/>
      <c r="B343" s="92" t="s">
        <v>148</v>
      </c>
      <c r="D343" s="258">
        <f>D216+D244</f>
        <v>0</v>
      </c>
      <c r="E343" s="253"/>
      <c r="F343" s="253"/>
      <c r="G343" s="161"/>
      <c r="L343" s="146"/>
    </row>
    <row r="344" spans="1:12" s="107" customFormat="1">
      <c r="A344" s="106"/>
      <c r="B344" s="92" t="s">
        <v>77</v>
      </c>
      <c r="D344" s="254">
        <f>D342-D343</f>
        <v>0</v>
      </c>
      <c r="E344" s="253"/>
      <c r="F344" s="253"/>
      <c r="G344" s="161"/>
      <c r="L344" s="146"/>
    </row>
    <row r="345" spans="1:12" s="107" customFormat="1">
      <c r="A345" s="106"/>
      <c r="B345" s="74"/>
      <c r="C345" s="67"/>
      <c r="D345" s="77"/>
      <c r="E345" s="253"/>
      <c r="F345" s="253"/>
      <c r="G345" s="161"/>
      <c r="L345" s="146"/>
    </row>
    <row r="346" spans="1:12" s="107" customFormat="1">
      <c r="A346" s="106"/>
      <c r="B346" s="88" t="s">
        <v>151</v>
      </c>
      <c r="C346" s="67"/>
      <c r="D346" s="77"/>
      <c r="E346" s="253"/>
      <c r="F346" s="253"/>
      <c r="G346" s="161"/>
      <c r="L346" s="146"/>
    </row>
    <row r="347" spans="1:12" s="107" customFormat="1">
      <c r="A347" s="106"/>
      <c r="B347" s="88"/>
      <c r="C347" s="67"/>
      <c r="D347" s="109">
        <v>0</v>
      </c>
      <c r="E347" s="253"/>
      <c r="F347" s="253"/>
      <c r="G347" s="161"/>
      <c r="L347" s="146"/>
    </row>
    <row r="348" spans="1:12" s="107" customFormat="1">
      <c r="A348" s="106"/>
      <c r="B348" s="74"/>
      <c r="C348" s="67"/>
      <c r="D348" s="338">
        <v>0</v>
      </c>
      <c r="E348" s="253"/>
      <c r="F348" s="253"/>
      <c r="G348" s="161"/>
      <c r="L348" s="146"/>
    </row>
    <row r="349" spans="1:12" s="107" customFormat="1">
      <c r="A349" s="106"/>
      <c r="B349" s="91" t="s">
        <v>147</v>
      </c>
      <c r="D349" s="75">
        <f>SUM(D347:D348)</f>
        <v>0</v>
      </c>
      <c r="E349" s="253"/>
      <c r="F349" s="253"/>
      <c r="G349" s="161"/>
      <c r="J349" s="85"/>
      <c r="L349" s="146"/>
    </row>
    <row r="350" spans="1:12" s="107" customFormat="1">
      <c r="A350" s="106"/>
      <c r="B350" s="92" t="s">
        <v>148</v>
      </c>
      <c r="D350" s="258">
        <f>D253</f>
        <v>0</v>
      </c>
      <c r="E350" s="253"/>
      <c r="F350" s="253"/>
      <c r="G350" s="161"/>
      <c r="L350" s="146"/>
    </row>
    <row r="351" spans="1:12" s="107" customFormat="1">
      <c r="A351" s="106"/>
      <c r="B351" s="92" t="s">
        <v>77</v>
      </c>
      <c r="D351" s="254">
        <f>D349-D350</f>
        <v>0</v>
      </c>
      <c r="E351" s="253"/>
      <c r="F351" s="253"/>
      <c r="G351" s="161"/>
      <c r="L351" s="146"/>
    </row>
    <row r="352" spans="1:12" s="107" customFormat="1">
      <c r="A352" s="106"/>
      <c r="B352" s="288"/>
      <c r="C352" s="67"/>
      <c r="D352" s="305"/>
      <c r="E352" s="253"/>
      <c r="F352" s="253"/>
      <c r="G352" s="161"/>
      <c r="L352" s="146"/>
    </row>
    <row r="353" spans="1:12" s="107" customFormat="1">
      <c r="A353" s="106"/>
      <c r="B353" s="88" t="s">
        <v>152</v>
      </c>
      <c r="C353" s="67"/>
      <c r="D353" s="77"/>
      <c r="E353" s="253"/>
      <c r="F353" s="253"/>
      <c r="G353" s="161"/>
      <c r="L353" s="146"/>
    </row>
    <row r="354" spans="1:12" s="107" customFormat="1">
      <c r="A354" s="106"/>
      <c r="B354" s="88"/>
      <c r="C354" s="67"/>
      <c r="D354" s="109">
        <v>0</v>
      </c>
      <c r="E354" s="253"/>
      <c r="F354" s="253"/>
      <c r="G354" s="161"/>
      <c r="L354" s="146"/>
    </row>
    <row r="355" spans="1:12" s="107" customFormat="1">
      <c r="A355" s="106"/>
      <c r="B355" s="74"/>
      <c r="C355" s="67"/>
      <c r="D355" s="338">
        <f>'Budget show 1'!E55</f>
        <v>0</v>
      </c>
      <c r="E355" s="253"/>
      <c r="F355" s="253"/>
      <c r="G355" s="161"/>
      <c r="L355" s="146"/>
    </row>
    <row r="356" spans="1:12" s="107" customFormat="1">
      <c r="A356" s="106"/>
      <c r="B356" s="91" t="s">
        <v>147</v>
      </c>
      <c r="D356" s="75">
        <f>SUM(D354:D355)</f>
        <v>0</v>
      </c>
      <c r="E356" s="253"/>
      <c r="F356" s="253"/>
      <c r="G356" s="161"/>
      <c r="J356" s="85"/>
      <c r="L356" s="146"/>
    </row>
    <row r="357" spans="1:12" s="107" customFormat="1">
      <c r="A357" s="106"/>
      <c r="B357" s="92" t="s">
        <v>148</v>
      </c>
      <c r="D357" s="258">
        <f>D264</f>
        <v>0</v>
      </c>
      <c r="E357" s="253"/>
      <c r="F357" s="253"/>
      <c r="G357" s="161"/>
      <c r="L357" s="146"/>
    </row>
    <row r="358" spans="1:12" s="107" customFormat="1">
      <c r="A358" s="106"/>
      <c r="B358" s="92" t="s">
        <v>77</v>
      </c>
      <c r="D358" s="254">
        <f>D356-D357</f>
        <v>0</v>
      </c>
      <c r="E358" s="253"/>
      <c r="F358" s="253"/>
      <c r="G358" s="161"/>
      <c r="L358" s="146"/>
    </row>
    <row r="359" spans="1:12" s="107" customFormat="1">
      <c r="A359" s="106"/>
      <c r="B359" s="74"/>
      <c r="C359" s="67"/>
      <c r="D359" s="77"/>
      <c r="E359" s="253"/>
      <c r="F359" s="253"/>
      <c r="G359" s="161"/>
      <c r="L359" s="146"/>
    </row>
    <row r="360" spans="1:12" s="107" customFormat="1">
      <c r="A360" s="106"/>
      <c r="B360" s="88" t="s">
        <v>153</v>
      </c>
      <c r="C360" s="67"/>
      <c r="D360" s="77"/>
      <c r="E360" s="253"/>
      <c r="F360" s="253"/>
      <c r="G360" s="161"/>
      <c r="L360" s="146"/>
    </row>
    <row r="361" spans="1:12" s="107" customFormat="1">
      <c r="A361" s="106"/>
      <c r="B361" s="88"/>
      <c r="C361" s="67"/>
      <c r="D361" s="109">
        <v>0</v>
      </c>
      <c r="E361" s="253"/>
      <c r="F361" s="253"/>
      <c r="G361" s="161"/>
      <c r="L361" s="146"/>
    </row>
    <row r="362" spans="1:12" s="107" customFormat="1">
      <c r="A362" s="106"/>
      <c r="B362" s="74"/>
      <c r="C362" s="67"/>
      <c r="D362" s="338">
        <f>'Budget show 1'!E60</f>
        <v>0</v>
      </c>
      <c r="E362" s="253"/>
      <c r="F362" s="253"/>
      <c r="G362" s="161"/>
      <c r="L362" s="146"/>
    </row>
    <row r="363" spans="1:12" s="107" customFormat="1">
      <c r="A363" s="106"/>
      <c r="B363" s="91" t="s">
        <v>147</v>
      </c>
      <c r="D363" s="75">
        <f>SUM(D361:D362)</f>
        <v>0</v>
      </c>
      <c r="E363" s="253"/>
      <c r="F363" s="253"/>
      <c r="G363" s="161"/>
      <c r="J363" s="85"/>
      <c r="L363" s="146"/>
    </row>
    <row r="364" spans="1:12" s="107" customFormat="1">
      <c r="A364" s="106"/>
      <c r="B364" s="92" t="s">
        <v>148</v>
      </c>
      <c r="D364" s="258">
        <f>D279</f>
        <v>0</v>
      </c>
      <c r="E364" s="253"/>
      <c r="F364" s="253"/>
      <c r="G364" s="161"/>
      <c r="L364" s="146"/>
    </row>
    <row r="365" spans="1:12" s="107" customFormat="1">
      <c r="A365" s="106"/>
      <c r="B365" s="92" t="s">
        <v>77</v>
      </c>
      <c r="D365" s="254">
        <f>D363-D364</f>
        <v>0</v>
      </c>
      <c r="E365" s="253"/>
      <c r="F365" s="253"/>
      <c r="G365" s="161"/>
      <c r="L365" s="146"/>
    </row>
    <row r="366" spans="1:12" s="107" customFormat="1">
      <c r="A366" s="106"/>
      <c r="B366" s="288"/>
      <c r="C366" s="67"/>
      <c r="D366" s="77"/>
      <c r="E366" s="253"/>
      <c r="F366" s="253"/>
      <c r="G366" s="161"/>
      <c r="L366" s="146"/>
    </row>
    <row r="367" spans="1:12" s="107" customFormat="1">
      <c r="A367" s="106"/>
      <c r="B367" s="88" t="s">
        <v>154</v>
      </c>
      <c r="C367" s="67"/>
      <c r="D367" s="77"/>
      <c r="E367" s="253"/>
      <c r="F367" s="253"/>
      <c r="G367" s="161"/>
      <c r="L367" s="146"/>
    </row>
    <row r="368" spans="1:12" s="107" customFormat="1">
      <c r="A368" s="106"/>
      <c r="B368" s="74"/>
      <c r="C368" s="67"/>
      <c r="D368" s="109">
        <v>0</v>
      </c>
      <c r="E368" s="253"/>
      <c r="F368" s="253"/>
      <c r="G368" s="161"/>
      <c r="L368" s="146"/>
    </row>
    <row r="369" spans="1:12" s="107" customFormat="1">
      <c r="A369" s="106"/>
      <c r="B369" s="74"/>
      <c r="C369" s="67"/>
      <c r="D369" s="109">
        <v>0</v>
      </c>
      <c r="E369" s="253"/>
      <c r="F369" s="253"/>
      <c r="G369" s="161"/>
      <c r="L369" s="146"/>
    </row>
    <row r="370" spans="1:12" s="107" customFormat="1">
      <c r="A370" s="106"/>
      <c r="B370" s="74"/>
      <c r="C370" s="67"/>
      <c r="D370" s="109">
        <v>0</v>
      </c>
      <c r="E370" s="253"/>
      <c r="F370" s="253"/>
      <c r="G370" s="161"/>
      <c r="L370" s="146"/>
    </row>
    <row r="371" spans="1:12" s="107" customFormat="1">
      <c r="A371" s="106"/>
      <c r="B371" s="74"/>
      <c r="C371" s="67"/>
      <c r="D371" s="109">
        <v>0</v>
      </c>
      <c r="E371" s="253"/>
      <c r="F371" s="253"/>
      <c r="G371" s="161"/>
      <c r="L371" s="146"/>
    </row>
    <row r="372" spans="1:12" s="107" customFormat="1">
      <c r="A372" s="106"/>
      <c r="B372" s="74"/>
      <c r="C372" s="67"/>
      <c r="D372" s="109">
        <v>0</v>
      </c>
      <c r="E372" s="253"/>
      <c r="F372" s="253"/>
      <c r="G372" s="161"/>
      <c r="L372" s="146"/>
    </row>
    <row r="373" spans="1:12" s="107" customFormat="1">
      <c r="A373" s="106"/>
      <c r="B373" s="74"/>
      <c r="C373" s="67"/>
      <c r="D373" s="338">
        <v>0</v>
      </c>
      <c r="E373" s="253"/>
      <c r="F373" s="253"/>
      <c r="G373" s="161"/>
      <c r="L373" s="146"/>
    </row>
    <row r="374" spans="1:12" s="107" customFormat="1">
      <c r="A374" s="106"/>
      <c r="B374" s="91" t="s">
        <v>147</v>
      </c>
      <c r="D374" s="75">
        <f>SUM(D368:D373)</f>
        <v>0</v>
      </c>
      <c r="E374" s="253"/>
      <c r="F374" s="253"/>
      <c r="G374" s="161"/>
      <c r="J374" s="85"/>
      <c r="L374" s="146"/>
    </row>
    <row r="375" spans="1:12" s="107" customFormat="1">
      <c r="A375" s="106"/>
      <c r="B375" s="92" t="s">
        <v>148</v>
      </c>
      <c r="D375" s="258">
        <f>D298</f>
        <v>0</v>
      </c>
      <c r="E375" s="253"/>
      <c r="F375" s="253"/>
      <c r="G375" s="161"/>
      <c r="L375" s="146"/>
    </row>
    <row r="376" spans="1:12" s="107" customFormat="1">
      <c r="A376" s="106"/>
      <c r="B376" s="92" t="s">
        <v>77</v>
      </c>
      <c r="D376" s="254">
        <f>D374-D375</f>
        <v>0</v>
      </c>
      <c r="E376" s="253"/>
      <c r="F376" s="253"/>
      <c r="G376" s="161"/>
      <c r="L376" s="146"/>
    </row>
    <row r="377" spans="1:12" s="107" customFormat="1">
      <c r="A377" s="106"/>
      <c r="B377" s="74"/>
      <c r="C377" s="67"/>
      <c r="D377" s="77"/>
      <c r="E377" s="253"/>
      <c r="F377" s="253"/>
      <c r="G377" s="161"/>
      <c r="L377" s="146"/>
    </row>
    <row r="378" spans="1:12" s="107" customFormat="1">
      <c r="A378" s="106"/>
      <c r="B378" s="88" t="s">
        <v>27</v>
      </c>
      <c r="C378" s="67"/>
      <c r="D378" s="77"/>
      <c r="E378" s="253"/>
      <c r="F378" s="253"/>
      <c r="G378" s="161"/>
      <c r="L378" s="146"/>
    </row>
    <row r="379" spans="1:12" s="107" customFormat="1">
      <c r="A379" s="106"/>
      <c r="B379" s="74"/>
      <c r="C379" s="67"/>
      <c r="D379" s="109">
        <v>0</v>
      </c>
      <c r="E379" s="253"/>
      <c r="F379" s="253"/>
      <c r="G379" s="161"/>
      <c r="L379" s="146"/>
    </row>
    <row r="380" spans="1:12" s="107" customFormat="1">
      <c r="A380" s="106"/>
      <c r="B380" s="74"/>
      <c r="C380" s="67"/>
      <c r="D380" s="109">
        <v>0</v>
      </c>
      <c r="E380" s="253"/>
      <c r="F380" s="253"/>
      <c r="G380" s="161"/>
      <c r="L380" s="146"/>
    </row>
    <row r="381" spans="1:12" s="107" customFormat="1">
      <c r="A381" s="106"/>
      <c r="B381" s="74"/>
      <c r="C381" s="67"/>
      <c r="D381" s="109">
        <v>0</v>
      </c>
      <c r="E381" s="253"/>
      <c r="F381" s="253"/>
      <c r="G381" s="161"/>
      <c r="L381" s="146"/>
    </row>
    <row r="382" spans="1:12" s="107" customFormat="1">
      <c r="A382" s="106"/>
      <c r="B382" s="74"/>
      <c r="C382" s="67"/>
      <c r="D382" s="109">
        <v>0</v>
      </c>
      <c r="E382" s="253"/>
      <c r="F382" s="253"/>
      <c r="G382" s="161"/>
      <c r="L382" s="146"/>
    </row>
    <row r="383" spans="1:12" s="107" customFormat="1">
      <c r="A383" s="106"/>
      <c r="B383" s="76"/>
      <c r="C383" s="67"/>
      <c r="D383" s="338">
        <v>0</v>
      </c>
      <c r="E383" s="253"/>
      <c r="F383" s="253"/>
      <c r="G383" s="161"/>
      <c r="L383" s="146"/>
    </row>
    <row r="384" spans="1:12" s="107" customFormat="1">
      <c r="A384" s="106"/>
      <c r="B384" s="91" t="s">
        <v>147</v>
      </c>
      <c r="D384" s="75">
        <f>SUM(D379:D383)</f>
        <v>0</v>
      </c>
      <c r="E384" s="253"/>
      <c r="F384" s="253"/>
      <c r="G384" s="161"/>
      <c r="J384" s="85"/>
      <c r="L384" s="146"/>
    </row>
    <row r="385" spans="1:12" s="107" customFormat="1">
      <c r="A385" s="106"/>
      <c r="B385" s="92" t="s">
        <v>148</v>
      </c>
      <c r="D385" s="258">
        <f>D311</f>
        <v>0</v>
      </c>
      <c r="E385" s="253"/>
      <c r="F385" s="253"/>
      <c r="G385" s="161"/>
      <c r="L385" s="146"/>
    </row>
    <row r="386" spans="1:12" s="107" customFormat="1">
      <c r="A386" s="106"/>
      <c r="B386" s="92" t="s">
        <v>77</v>
      </c>
      <c r="D386" s="254">
        <f>D384-D385</f>
        <v>0</v>
      </c>
      <c r="E386" s="253"/>
      <c r="F386" s="253"/>
      <c r="G386" s="161"/>
      <c r="L386" s="146"/>
    </row>
    <row r="387" spans="1:12" s="107" customFormat="1">
      <c r="A387" s="106"/>
      <c r="B387" s="89" t="s">
        <v>11</v>
      </c>
      <c r="C387" s="107" t="s">
        <v>11</v>
      </c>
      <c r="D387" s="83" t="s">
        <v>11</v>
      </c>
      <c r="E387" s="253"/>
      <c r="F387" s="253"/>
      <c r="G387" s="161"/>
      <c r="L387" s="146"/>
    </row>
    <row r="388" spans="1:12" s="107" customFormat="1">
      <c r="A388" s="106"/>
      <c r="B388" s="91" t="s">
        <v>147</v>
      </c>
      <c r="D388" s="257">
        <f>D325+D342+D349+D356+D363+D374+D384</f>
        <v>0</v>
      </c>
      <c r="E388" s="253"/>
      <c r="F388" s="253"/>
      <c r="G388" s="161"/>
      <c r="L388" s="146"/>
    </row>
    <row r="389" spans="1:12" s="107" customFormat="1">
      <c r="A389" s="106"/>
      <c r="B389" s="92" t="s">
        <v>148</v>
      </c>
      <c r="D389" s="258">
        <f>D314</f>
        <v>1</v>
      </c>
      <c r="E389" s="253"/>
      <c r="F389" s="253"/>
      <c r="G389" s="161"/>
      <c r="L389" s="146"/>
    </row>
    <row r="390" spans="1:12" s="107" customFormat="1">
      <c r="A390" s="106"/>
      <c r="B390" s="92" t="s">
        <v>77</v>
      </c>
      <c r="D390" s="254">
        <f>D388-D389</f>
        <v>-1</v>
      </c>
      <c r="E390" s="253"/>
      <c r="F390" s="253"/>
      <c r="G390" s="161"/>
      <c r="H390" s="107" t="s">
        <v>11</v>
      </c>
      <c r="L390" s="146"/>
    </row>
    <row r="391" spans="1:12" s="107" customFormat="1">
      <c r="A391" s="106"/>
      <c r="B391" s="146"/>
      <c r="D391" s="253"/>
      <c r="E391" s="253"/>
      <c r="F391" s="253"/>
      <c r="G391" s="161"/>
      <c r="H391" s="146" t="s">
        <v>11</v>
      </c>
      <c r="L391" s="146"/>
    </row>
    <row r="392" spans="1:12" s="107" customFormat="1">
      <c r="A392" s="106"/>
      <c r="B392" s="146"/>
      <c r="D392" s="253"/>
      <c r="E392" s="253"/>
      <c r="F392" s="253"/>
      <c r="G392" s="161"/>
      <c r="H392" s="146"/>
      <c r="L392" s="146"/>
    </row>
    <row r="393" spans="1:12" s="107" customFormat="1">
      <c r="A393" s="106"/>
      <c r="B393" s="93" t="s">
        <v>155</v>
      </c>
      <c r="D393" s="253"/>
      <c r="E393" s="253"/>
      <c r="F393" s="253"/>
      <c r="G393" s="161"/>
      <c r="L393" s="146"/>
    </row>
    <row r="394" spans="1:12" s="107" customFormat="1">
      <c r="A394" s="106"/>
      <c r="B394" s="94" t="s">
        <v>156</v>
      </c>
      <c r="D394" s="122">
        <f>F314</f>
        <v>5</v>
      </c>
      <c r="F394" s="253"/>
      <c r="G394" s="161"/>
      <c r="L394" s="146"/>
    </row>
    <row r="395" spans="1:12" s="107" customFormat="1">
      <c r="A395" s="106"/>
      <c r="B395" s="95" t="s">
        <v>157</v>
      </c>
      <c r="D395" s="123">
        <f>'Budget show 1'!I19</f>
        <v>0</v>
      </c>
      <c r="F395" s="253"/>
      <c r="G395" s="161"/>
      <c r="L395" s="146"/>
    </row>
    <row r="396" spans="1:12" s="107" customFormat="1">
      <c r="A396" s="106"/>
      <c r="B396" s="95" t="s">
        <v>77</v>
      </c>
      <c r="D396" s="96">
        <f>D394-D395</f>
        <v>5</v>
      </c>
      <c r="E396" s="121">
        <f>IFERROR(D396/D395,0)</f>
        <v>0</v>
      </c>
      <c r="F396" s="253"/>
      <c r="G396" s="161"/>
      <c r="L396" s="146"/>
    </row>
    <row r="397" spans="1:12" s="107" customFormat="1">
      <c r="A397" s="106"/>
      <c r="B397" s="146"/>
      <c r="G397" s="161"/>
      <c r="L397" s="146"/>
    </row>
    <row r="398" spans="1:12" s="107" customFormat="1">
      <c r="A398" s="106"/>
      <c r="B398" s="146"/>
      <c r="G398" s="161"/>
      <c r="L398" s="146"/>
    </row>
    <row r="399" spans="1:12" s="107" customFormat="1">
      <c r="A399" s="106"/>
      <c r="B399" s="97" t="s">
        <v>158</v>
      </c>
      <c r="D399" s="98">
        <f ca="1">TODAY()</f>
        <v>46106</v>
      </c>
      <c r="G399" s="161"/>
      <c r="L399" s="146"/>
    </row>
    <row r="400" spans="1:12" s="107" customFormat="1">
      <c r="A400" s="106"/>
      <c r="B400" s="146"/>
      <c r="G400" s="161"/>
      <c r="L400" s="146"/>
    </row>
    <row r="401" spans="1:12" s="107" customFormat="1">
      <c r="A401" s="106"/>
      <c r="B401" s="146"/>
      <c r="L401" s="146"/>
    </row>
    <row r="402" spans="1:12" s="107" customFormat="1">
      <c r="A402" s="106"/>
      <c r="B402" s="146"/>
      <c r="L402" s="146"/>
    </row>
    <row r="403" spans="1:12" s="107" customFormat="1">
      <c r="A403" s="106"/>
      <c r="B403" s="146"/>
      <c r="L403" s="146"/>
    </row>
    <row r="405" spans="1:12" s="107" customFormat="1">
      <c r="A405" s="106"/>
      <c r="B405" s="146"/>
      <c r="L405" s="146"/>
    </row>
  </sheetData>
  <conditionalFormatting sqref="D327">
    <cfRule type="cellIs" dxfId="350" priority="14" stopIfTrue="1" operator="equal">
      <formula>0</formula>
    </cfRule>
    <cfRule type="cellIs" dxfId="349" priority="13" stopIfTrue="1" operator="notEqual">
      <formula>0</formula>
    </cfRule>
  </conditionalFormatting>
  <conditionalFormatting sqref="D344">
    <cfRule type="cellIs" dxfId="348" priority="12" stopIfTrue="1" operator="equal">
      <formula>0</formula>
    </cfRule>
    <cfRule type="cellIs" dxfId="347" priority="11" stopIfTrue="1" operator="notEqual">
      <formula>0</formula>
    </cfRule>
  </conditionalFormatting>
  <conditionalFormatting sqref="D351">
    <cfRule type="cellIs" dxfId="346" priority="10" stopIfTrue="1" operator="equal">
      <formula>0</formula>
    </cfRule>
    <cfRule type="cellIs" dxfId="345" priority="9" stopIfTrue="1" operator="notEqual">
      <formula>0</formula>
    </cfRule>
  </conditionalFormatting>
  <conditionalFormatting sqref="D358">
    <cfRule type="cellIs" dxfId="344" priority="7" stopIfTrue="1" operator="notEqual">
      <formula>0</formula>
    </cfRule>
    <cfRule type="cellIs" dxfId="343" priority="8" stopIfTrue="1" operator="equal">
      <formula>0</formula>
    </cfRule>
  </conditionalFormatting>
  <conditionalFormatting sqref="D365">
    <cfRule type="cellIs" dxfId="342" priority="6" stopIfTrue="1" operator="equal">
      <formula>0</formula>
    </cfRule>
    <cfRule type="cellIs" dxfId="341" priority="5" stopIfTrue="1" operator="notEqual">
      <formula>0</formula>
    </cfRule>
  </conditionalFormatting>
  <conditionalFormatting sqref="D376">
    <cfRule type="cellIs" dxfId="340" priority="4" stopIfTrue="1" operator="equal">
      <formula>0</formula>
    </cfRule>
    <cfRule type="cellIs" dxfId="339" priority="3" stopIfTrue="1" operator="notEqual">
      <formula>0</formula>
    </cfRule>
  </conditionalFormatting>
  <conditionalFormatting sqref="D386">
    <cfRule type="cellIs" dxfId="338" priority="2" stopIfTrue="1" operator="equal">
      <formula>0</formula>
    </cfRule>
    <cfRule type="cellIs" dxfId="337" priority="1" stopIfTrue="1" operator="notEqual">
      <formula>0</formula>
    </cfRule>
  </conditionalFormatting>
  <conditionalFormatting sqref="D390">
    <cfRule type="cellIs" dxfId="336" priority="115" stopIfTrue="1" operator="equal">
      <formula>0</formula>
    </cfRule>
    <cfRule type="cellIs" dxfId="335" priority="114" stopIfTrue="1" operator="notEqual">
      <formula>0</formula>
    </cfRule>
  </conditionalFormatting>
  <conditionalFormatting sqref="D396:E396">
    <cfRule type="cellIs" dxfId="334" priority="79" stopIfTrue="1" operator="lessThanOrEqual">
      <formula>0</formula>
    </cfRule>
    <cfRule type="cellIs" dxfId="333" priority="80" stopIfTrue="1" operator="greaterThan">
      <formula>0</formula>
    </cfRule>
  </conditionalFormatting>
  <conditionalFormatting sqref="F321:F322">
    <cfRule type="cellIs" dxfId="332" priority="82" stopIfTrue="1" operator="greaterThan">
      <formula>0</formula>
    </cfRule>
    <cfRule type="cellIs" dxfId="331" priority="81" stopIfTrue="1" operator="lessThanOrEqual">
      <formula>0</formula>
    </cfRule>
  </conditionalFormatting>
  <conditionalFormatting sqref="I10">
    <cfRule type="cellIs" dxfId="330" priority="85" operator="greaterThan">
      <formula>0</formula>
    </cfRule>
    <cfRule type="cellIs" dxfId="329" priority="86" operator="lessThanOrEqual">
      <formula>0</formula>
    </cfRule>
  </conditionalFormatting>
  <conditionalFormatting sqref="I15:I20">
    <cfRule type="cellIs" dxfId="328" priority="63" operator="greaterThan">
      <formula>0</formula>
    </cfRule>
    <cfRule type="cellIs" dxfId="327" priority="64" operator="lessThanOrEqual">
      <formula>0</formula>
    </cfRule>
  </conditionalFormatting>
  <conditionalFormatting sqref="I22">
    <cfRule type="cellIs" dxfId="326" priority="59" operator="greaterThan">
      <formula>0</formula>
    </cfRule>
    <cfRule type="cellIs" dxfId="325" priority="60" operator="lessThanOrEqual">
      <formula>0</formula>
    </cfRule>
  </conditionalFormatting>
  <conditionalFormatting sqref="I25">
    <cfRule type="cellIs" dxfId="324" priority="113" operator="lessThanOrEqual">
      <formula>0</formula>
    </cfRule>
    <cfRule type="cellIs" dxfId="323" priority="112" operator="greaterThan">
      <formula>0</formula>
    </cfRule>
  </conditionalFormatting>
  <conditionalFormatting sqref="I29:I37">
    <cfRule type="cellIs" dxfId="322" priority="62" operator="lessThanOrEqual">
      <formula>0</formula>
    </cfRule>
    <cfRule type="cellIs" dxfId="321" priority="61" operator="greaterThan">
      <formula>0</formula>
    </cfRule>
  </conditionalFormatting>
  <conditionalFormatting sqref="I39">
    <cfRule type="cellIs" dxfId="320" priority="58" operator="lessThanOrEqual">
      <formula>0</formula>
    </cfRule>
    <cfRule type="cellIs" dxfId="319" priority="57" operator="greaterThan">
      <formula>0</formula>
    </cfRule>
  </conditionalFormatting>
  <conditionalFormatting sqref="I41">
    <cfRule type="cellIs" dxfId="318" priority="111" operator="lessThanOrEqual">
      <formula>0</formula>
    </cfRule>
    <cfRule type="cellIs" dxfId="317" priority="110" operator="greaterThan">
      <formula>0</formula>
    </cfRule>
  </conditionalFormatting>
  <conditionalFormatting sqref="I45:I47">
    <cfRule type="cellIs" dxfId="316" priority="56" operator="lessThanOrEqual">
      <formula>0</formula>
    </cfRule>
    <cfRule type="cellIs" dxfId="315" priority="55" operator="greaterThan">
      <formula>0</formula>
    </cfRule>
  </conditionalFormatting>
  <conditionalFormatting sqref="I49">
    <cfRule type="cellIs" dxfId="314" priority="108" operator="greaterThan">
      <formula>0</formula>
    </cfRule>
    <cfRule type="cellIs" dxfId="313" priority="109" operator="lessThanOrEqual">
      <formula>0</formula>
    </cfRule>
  </conditionalFormatting>
  <conditionalFormatting sqref="I53:I66">
    <cfRule type="cellIs" dxfId="312" priority="54" operator="lessThanOrEqual">
      <formula>0</formula>
    </cfRule>
    <cfRule type="cellIs" dxfId="311" priority="53" operator="greaterThan">
      <formula>0</formula>
    </cfRule>
  </conditionalFormatting>
  <conditionalFormatting sqref="I68">
    <cfRule type="cellIs" dxfId="310" priority="107" operator="lessThanOrEqual">
      <formula>0</formula>
    </cfRule>
    <cfRule type="cellIs" dxfId="309" priority="106" operator="greaterThan">
      <formula>0</formula>
    </cfRule>
  </conditionalFormatting>
  <conditionalFormatting sqref="I72:I83">
    <cfRule type="cellIs" dxfId="308" priority="51" operator="greaterThan">
      <formula>0</formula>
    </cfRule>
    <cfRule type="cellIs" dxfId="307" priority="52" operator="lessThanOrEqual">
      <formula>0</formula>
    </cfRule>
  </conditionalFormatting>
  <conditionalFormatting sqref="I85">
    <cfRule type="cellIs" dxfId="306" priority="104" operator="greaterThan">
      <formula>0</formula>
    </cfRule>
    <cfRule type="cellIs" dxfId="305" priority="105" operator="lessThanOrEqual">
      <formula>0</formula>
    </cfRule>
  </conditionalFormatting>
  <conditionalFormatting sqref="I89:I92">
    <cfRule type="cellIs" dxfId="304" priority="49" operator="greaterThan">
      <formula>0</formula>
    </cfRule>
    <cfRule type="cellIs" dxfId="303" priority="50" operator="lessThanOrEqual">
      <formula>0</formula>
    </cfRule>
  </conditionalFormatting>
  <conditionalFormatting sqref="I94">
    <cfRule type="cellIs" dxfId="302" priority="102" operator="greaterThan">
      <formula>0</formula>
    </cfRule>
    <cfRule type="cellIs" dxfId="301" priority="103" operator="lessThanOrEqual">
      <formula>0</formula>
    </cfRule>
  </conditionalFormatting>
  <conditionalFormatting sqref="I98:I104">
    <cfRule type="cellIs" dxfId="300" priority="48" operator="lessThanOrEqual">
      <formula>0</formula>
    </cfRule>
    <cfRule type="cellIs" dxfId="299" priority="47" operator="greaterThan">
      <formula>0</formula>
    </cfRule>
  </conditionalFormatting>
  <conditionalFormatting sqref="I106">
    <cfRule type="cellIs" dxfId="298" priority="100" operator="greaterThan">
      <formula>0</formula>
    </cfRule>
    <cfRule type="cellIs" dxfId="297" priority="101" operator="lessThanOrEqual">
      <formula>0</formula>
    </cfRule>
  </conditionalFormatting>
  <conditionalFormatting sqref="I110:I119">
    <cfRule type="cellIs" dxfId="296" priority="45" operator="greaterThan">
      <formula>0</formula>
    </cfRule>
    <cfRule type="cellIs" dxfId="295" priority="46" operator="lessThanOrEqual">
      <formula>0</formula>
    </cfRule>
  </conditionalFormatting>
  <conditionalFormatting sqref="I121">
    <cfRule type="cellIs" dxfId="294" priority="23" operator="greaterThan">
      <formula>0</formula>
    </cfRule>
    <cfRule type="cellIs" dxfId="293" priority="24" operator="lessThanOrEqual">
      <formula>0</formula>
    </cfRule>
  </conditionalFormatting>
  <conditionalFormatting sqref="I123">
    <cfRule type="cellIs" dxfId="292" priority="25" operator="greaterThan">
      <formula>0</formula>
    </cfRule>
    <cfRule type="cellIs" dxfId="291" priority="26" operator="lessThanOrEqual">
      <formula>0</formula>
    </cfRule>
  </conditionalFormatting>
  <conditionalFormatting sqref="I126:I128">
    <cfRule type="cellIs" dxfId="290" priority="44" operator="lessThanOrEqual">
      <formula>0</formula>
    </cfRule>
    <cfRule type="cellIs" dxfId="289" priority="43" operator="greaterThan">
      <formula>0</formula>
    </cfRule>
  </conditionalFormatting>
  <conditionalFormatting sqref="I130">
    <cfRule type="cellIs" dxfId="288" priority="41" operator="greaterThan">
      <formula>0</formula>
    </cfRule>
    <cfRule type="cellIs" dxfId="287" priority="42" operator="lessThanOrEqual">
      <formula>0</formula>
    </cfRule>
  </conditionalFormatting>
  <conditionalFormatting sqref="I132">
    <cfRule type="cellIs" dxfId="286" priority="98" operator="greaterThan">
      <formula>0</formula>
    </cfRule>
    <cfRule type="cellIs" dxfId="285" priority="99" operator="lessThanOrEqual">
      <formula>0</formula>
    </cfRule>
  </conditionalFormatting>
  <conditionalFormatting sqref="I136:I145">
    <cfRule type="cellIs" dxfId="284" priority="39" operator="greaterThan">
      <formula>0</formula>
    </cfRule>
    <cfRule type="cellIs" dxfId="283" priority="40" operator="lessThanOrEqual">
      <formula>0</formula>
    </cfRule>
  </conditionalFormatting>
  <conditionalFormatting sqref="I147">
    <cfRule type="cellIs" dxfId="282" priority="96" operator="greaterThan">
      <formula>0</formula>
    </cfRule>
    <cfRule type="cellIs" dxfId="281" priority="97" operator="lessThanOrEqual">
      <formula>0</formula>
    </cfRule>
  </conditionalFormatting>
  <conditionalFormatting sqref="I151:I153">
    <cfRule type="cellIs" dxfId="280" priority="19" operator="greaterThan">
      <formula>0</formula>
    </cfRule>
    <cfRule type="cellIs" dxfId="279" priority="20" operator="lessThanOrEqual">
      <formula>0</formula>
    </cfRule>
  </conditionalFormatting>
  <conditionalFormatting sqref="I155">
    <cfRule type="cellIs" dxfId="278" priority="18" operator="lessThanOrEqual">
      <formula>0</formula>
    </cfRule>
    <cfRule type="cellIs" dxfId="277" priority="17" operator="greaterThan">
      <formula>0</formula>
    </cfRule>
  </conditionalFormatting>
  <conditionalFormatting sqref="I157">
    <cfRule type="cellIs" dxfId="276" priority="22" operator="lessThanOrEqual">
      <formula>0</formula>
    </cfRule>
    <cfRule type="cellIs" dxfId="275" priority="21" operator="greaterThan">
      <formula>0</formula>
    </cfRule>
  </conditionalFormatting>
  <conditionalFormatting sqref="I160">
    <cfRule type="cellIs" dxfId="274" priority="94" operator="greaterThan">
      <formula>0</formula>
    </cfRule>
    <cfRule type="cellIs" dxfId="273" priority="95" operator="lessThanOrEqual">
      <formula>0</formula>
    </cfRule>
  </conditionalFormatting>
  <conditionalFormatting sqref="I166:I170">
    <cfRule type="cellIs" dxfId="272" priority="37" operator="greaterThan">
      <formula>0</formula>
    </cfRule>
    <cfRule type="cellIs" dxfId="271" priority="38" operator="lessThanOrEqual">
      <formula>0</formula>
    </cfRule>
  </conditionalFormatting>
  <conditionalFormatting sqref="I173:I177">
    <cfRule type="cellIs" dxfId="270" priority="36" operator="lessThanOrEqual">
      <formula>0</formula>
    </cfRule>
    <cfRule type="cellIs" dxfId="269" priority="35" operator="greaterThan">
      <formula>0</formula>
    </cfRule>
  </conditionalFormatting>
  <conditionalFormatting sqref="I180:I182">
    <cfRule type="cellIs" dxfId="268" priority="34" operator="lessThanOrEqual">
      <formula>0</formula>
    </cfRule>
    <cfRule type="cellIs" dxfId="267" priority="33" operator="greaterThan">
      <formula>0</formula>
    </cfRule>
  </conditionalFormatting>
  <conditionalFormatting sqref="I185:I188">
    <cfRule type="cellIs" dxfId="266" priority="31" operator="greaterThan">
      <formula>0</formula>
    </cfRule>
    <cfRule type="cellIs" dxfId="265" priority="32" operator="lessThanOrEqual">
      <formula>0</formula>
    </cfRule>
  </conditionalFormatting>
  <conditionalFormatting sqref="I191:I195">
    <cfRule type="cellIs" dxfId="264" priority="30" operator="lessThanOrEqual">
      <formula>0</formula>
    </cfRule>
    <cfRule type="cellIs" dxfId="263" priority="29" operator="greaterThan">
      <formula>0</formula>
    </cfRule>
  </conditionalFormatting>
  <conditionalFormatting sqref="I197">
    <cfRule type="cellIs" dxfId="262" priority="28" operator="lessThanOrEqual">
      <formula>0</formula>
    </cfRule>
    <cfRule type="cellIs" dxfId="261" priority="27" operator="greaterThan">
      <formula>0</formula>
    </cfRule>
  </conditionalFormatting>
  <conditionalFormatting sqref="I199">
    <cfRule type="cellIs" dxfId="260" priority="93" operator="lessThanOrEqual">
      <formula>0</formula>
    </cfRule>
    <cfRule type="cellIs" dxfId="259" priority="92" operator="greaterThan">
      <formula>0</formula>
    </cfRule>
  </conditionalFormatting>
  <conditionalFormatting sqref="I216">
    <cfRule type="cellIs" dxfId="258" priority="83" operator="lessThanOrEqual">
      <formula>0</formula>
    </cfRule>
    <cfRule type="cellIs" dxfId="257" priority="84" operator="greaterThan">
      <formula>0</formula>
    </cfRule>
  </conditionalFormatting>
  <conditionalFormatting sqref="I228:I229">
    <cfRule type="cellIs" dxfId="256" priority="90" operator="greaterThan">
      <formula>0</formula>
    </cfRule>
    <cfRule type="cellIs" dxfId="255" priority="91" operator="lessThanOrEqual">
      <formula>0</formula>
    </cfRule>
  </conditionalFormatting>
  <conditionalFormatting sqref="I233">
    <cfRule type="cellIs" dxfId="254" priority="89" operator="lessThanOrEqual">
      <formula>0</formula>
    </cfRule>
    <cfRule type="cellIs" dxfId="253" priority="88" operator="greaterThan">
      <formula>0</formula>
    </cfRule>
  </conditionalFormatting>
  <conditionalFormatting sqref="I251:I252">
    <cfRule type="cellIs" dxfId="252" priority="75" operator="greaterThan">
      <formula>0</formula>
    </cfRule>
    <cfRule type="cellIs" dxfId="251" priority="76" operator="lessThanOrEqual">
      <formula>0</formula>
    </cfRule>
  </conditionalFormatting>
  <conditionalFormatting sqref="I256">
    <cfRule type="cellIs" dxfId="250" priority="16" operator="lessThanOrEqual">
      <formula>0</formula>
    </cfRule>
    <cfRule type="cellIs" dxfId="249" priority="15" operator="greaterThan">
      <formula>0</formula>
    </cfRule>
  </conditionalFormatting>
  <conditionalFormatting sqref="I262:I263">
    <cfRule type="cellIs" dxfId="248" priority="74" operator="lessThanOrEqual">
      <formula>0</formula>
    </cfRule>
    <cfRule type="cellIs" dxfId="247" priority="73" operator="greaterThan">
      <formula>0</formula>
    </cfRule>
  </conditionalFormatting>
  <conditionalFormatting sqref="I267">
    <cfRule type="cellIs" dxfId="246" priority="72" operator="lessThanOrEqual">
      <formula>0</formula>
    </cfRule>
    <cfRule type="cellIs" dxfId="245" priority="71" operator="greaterThan">
      <formula>0</formula>
    </cfRule>
  </conditionalFormatting>
  <conditionalFormatting sqref="I282">
    <cfRule type="cellIs" dxfId="244" priority="68" operator="lessThanOrEqual">
      <formula>0</formula>
    </cfRule>
    <cfRule type="cellIs" dxfId="243" priority="67" operator="greaterThan">
      <formula>0</formula>
    </cfRule>
  </conditionalFormatting>
  <conditionalFormatting sqref="I298">
    <cfRule type="cellIs" dxfId="242" priority="77" operator="greaterThan">
      <formula>0</formula>
    </cfRule>
    <cfRule type="cellIs" dxfId="241" priority="78" operator="lessThanOrEqual">
      <formula>0</formula>
    </cfRule>
  </conditionalFormatting>
  <conditionalFormatting sqref="I302">
    <cfRule type="cellIs" dxfId="240" priority="69" operator="greaterThan">
      <formula>0</formula>
    </cfRule>
    <cfRule type="cellIs" dxfId="239" priority="70" operator="lessThanOrEqual">
      <formula>0</formula>
    </cfRule>
  </conditionalFormatting>
  <conditionalFormatting sqref="I311">
    <cfRule type="cellIs" dxfId="238" priority="65" operator="greaterThan">
      <formula>0</formula>
    </cfRule>
    <cfRule type="cellIs" dxfId="237" priority="66" operator="lessThanOrEqual">
      <formula>0</formula>
    </cfRule>
  </conditionalFormatting>
  <conditionalFormatting sqref="J160">
    <cfRule type="cellIs" dxfId="236" priority="87" operator="notEqual">
      <formula>0</formula>
    </cfRule>
  </conditionalFormatting>
  <printOptions gridLines="1" gridLinesSet="0"/>
  <pageMargins left="0.79000000000000015" right="0.79000000000000015" top="0.98" bottom="0.98" header="0.51" footer="0.51"/>
  <pageSetup paperSize="9" orientation="portrait" horizontalDpi="4294967292" verticalDpi="4294967292"/>
  <headerFooter>
    <oddHeader>&amp;L&amp;K000000Client&amp;C&amp;K000000Show&amp;R&amp;K000000&amp;F</oddHeader>
    <oddFooter>&amp;LCalculation Boom&amp;C&amp;Pvan&amp;N&amp;R&amp;T/&amp;D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7135-34B0-DD46-A8B2-BE55D8C0609D}">
  <sheetPr>
    <pageSetUpPr fitToPage="1"/>
  </sheetPr>
  <dimension ref="A1:L405"/>
  <sheetViews>
    <sheetView zoomScaleNormal="100" zoomScalePageLayoutView="125" workbookViewId="0">
      <pane ySplit="2" topLeftCell="A3" activePane="bottomLeft" state="frozen"/>
      <selection pane="bottomLeft" activeCell="L266" sqref="L266"/>
    </sheetView>
  </sheetViews>
  <sheetFormatPr defaultColWidth="10.875" defaultRowHeight="12.95"/>
  <cols>
    <col min="1" max="1" width="6.875" style="106" customWidth="1"/>
    <col min="2" max="2" width="50.875" style="146" customWidth="1"/>
    <col min="3" max="3" width="2.375" style="107" customWidth="1"/>
    <col min="4" max="6" width="14.875" style="107" customWidth="1"/>
    <col min="7" max="7" width="2.375" style="107" customWidth="1"/>
    <col min="8" max="8" width="17.875" style="107" customWidth="1"/>
    <col min="9" max="9" width="14.875" style="107" customWidth="1"/>
    <col min="10" max="10" width="12.5" style="107" customWidth="1"/>
    <col min="11" max="11" width="10.875" style="107"/>
    <col min="12" max="16384" width="10.875" style="146"/>
  </cols>
  <sheetData>
    <row r="1" spans="1:10">
      <c r="D1" s="65" t="s">
        <v>65</v>
      </c>
      <c r="E1" s="66">
        <v>1.3</v>
      </c>
      <c r="F1" s="147" t="s">
        <v>11</v>
      </c>
      <c r="G1" s="147"/>
      <c r="H1" s="148"/>
      <c r="I1" s="149"/>
      <c r="J1" s="149"/>
    </row>
    <row r="2" spans="1:10" ht="14.1" thickBot="1">
      <c r="A2" s="150"/>
      <c r="B2" s="68" t="s">
        <v>66</v>
      </c>
      <c r="C2" s="69"/>
      <c r="D2" s="69" t="s">
        <v>67</v>
      </c>
      <c r="E2" s="69" t="s">
        <v>29</v>
      </c>
      <c r="F2" s="69" t="s">
        <v>68</v>
      </c>
      <c r="G2" s="71"/>
      <c r="J2" s="151"/>
    </row>
    <row r="3" spans="1:10" ht="14.1" thickBot="1">
      <c r="B3" s="70"/>
      <c r="C3" s="71"/>
      <c r="D3" s="71"/>
      <c r="E3" s="71"/>
      <c r="F3" s="71"/>
      <c r="G3" s="71"/>
      <c r="H3" s="71"/>
      <c r="I3" s="71"/>
      <c r="J3" s="151"/>
    </row>
    <row r="4" spans="1:10">
      <c r="A4" s="152" t="s">
        <v>11</v>
      </c>
      <c r="B4" s="99" t="str">
        <f>'Budget show 3'!E4</f>
        <v>name</v>
      </c>
      <c r="C4" s="80"/>
      <c r="D4" s="219" t="s">
        <v>69</v>
      </c>
      <c r="E4" s="220" t="s">
        <v>70</v>
      </c>
      <c r="F4" s="221"/>
      <c r="G4" s="153"/>
      <c r="H4" s="71"/>
      <c r="I4" s="71"/>
      <c r="J4" s="151"/>
    </row>
    <row r="5" spans="1:10">
      <c r="A5" s="152"/>
      <c r="B5" s="100" t="str">
        <f>'Budget show 3'!E5</f>
        <v>show</v>
      </c>
      <c r="C5" s="80"/>
      <c r="D5" s="222" t="s">
        <v>71</v>
      </c>
      <c r="E5" s="223" t="s">
        <v>72</v>
      </c>
      <c r="F5" s="224"/>
      <c r="G5" s="153"/>
      <c r="H5" s="71"/>
      <c r="I5" s="71"/>
      <c r="J5" s="151"/>
    </row>
    <row r="6" spans="1:10">
      <c r="A6" s="152"/>
      <c r="B6" s="100" t="str">
        <f>'Budget show 3'!E6</f>
        <v>Month ##-##, 2025</v>
      </c>
      <c r="C6" s="80"/>
      <c r="H6" s="71"/>
      <c r="I6" s="71"/>
      <c r="J6" s="151"/>
    </row>
    <row r="7" spans="1:10">
      <c r="A7" s="152"/>
      <c r="B7" s="100" t="str">
        <f>'Budget show 3'!E7</f>
        <v>Place, Country</v>
      </c>
      <c r="C7" s="80"/>
      <c r="D7" s="71"/>
      <c r="E7" s="71"/>
      <c r="F7" s="71"/>
      <c r="G7" s="71"/>
      <c r="H7" s="71"/>
      <c r="I7" s="71"/>
      <c r="J7" s="151"/>
    </row>
    <row r="8" spans="1:10" ht="14.1" thickBot="1">
      <c r="A8" s="152"/>
      <c r="B8" s="101" t="str">
        <f>'Budget show 3'!E8</f>
        <v>Project nummer (Hubspot)</v>
      </c>
      <c r="C8" s="80"/>
      <c r="D8" s="71"/>
      <c r="E8" s="71"/>
      <c r="F8" s="71"/>
      <c r="G8" s="71"/>
      <c r="H8" s="71"/>
      <c r="I8" s="71"/>
      <c r="J8" s="151"/>
    </row>
    <row r="9" spans="1:10">
      <c r="A9" s="152"/>
      <c r="B9" s="72"/>
      <c r="C9" s="80"/>
      <c r="D9" s="102" t="s">
        <v>73</v>
      </c>
      <c r="E9" s="103" t="s">
        <v>74</v>
      </c>
      <c r="F9" s="104" t="s">
        <v>75</v>
      </c>
      <c r="G9" s="155"/>
      <c r="H9" s="104" t="s">
        <v>76</v>
      </c>
      <c r="I9" s="105" t="s">
        <v>77</v>
      </c>
      <c r="J9" s="151"/>
    </row>
    <row r="10" spans="1:10">
      <c r="A10" s="116">
        <f>'Budget show 3'!E10</f>
        <v>0</v>
      </c>
      <c r="B10" s="73" t="s">
        <v>78</v>
      </c>
      <c r="C10" s="80"/>
      <c r="D10" s="136" t="s">
        <v>79</v>
      </c>
      <c r="E10" s="124" t="str">
        <f>'Budget show 3'!E14</f>
        <v>-</v>
      </c>
      <c r="F10" s="113" t="s">
        <v>80</v>
      </c>
      <c r="G10" s="156"/>
      <c r="H10" s="114">
        <v>0</v>
      </c>
      <c r="I10" s="115">
        <f>A10-H10</f>
        <v>0</v>
      </c>
      <c r="J10" s="151"/>
    </row>
    <row r="11" spans="1:10">
      <c r="B11" s="70"/>
      <c r="C11" s="80"/>
      <c r="H11" s="71"/>
      <c r="I11" s="71"/>
      <c r="J11" s="151"/>
    </row>
    <row r="12" spans="1:10">
      <c r="B12" s="157" t="s">
        <v>81</v>
      </c>
      <c r="C12" s="80"/>
    </row>
    <row r="13" spans="1:10">
      <c r="B13" s="72"/>
      <c r="C13" s="80"/>
    </row>
    <row r="14" spans="1:10">
      <c r="B14" s="73" t="s">
        <v>82</v>
      </c>
      <c r="C14" s="80"/>
      <c r="H14" s="293" t="s">
        <v>83</v>
      </c>
      <c r="I14" s="293" t="s">
        <v>77</v>
      </c>
    </row>
    <row r="15" spans="1:10">
      <c r="A15" s="153">
        <v>0</v>
      </c>
      <c r="B15" s="225" t="s">
        <v>84</v>
      </c>
      <c r="C15" s="80"/>
      <c r="D15" s="226">
        <v>0</v>
      </c>
      <c r="E15" s="328">
        <f t="shared" ref="E15:E22" si="0">F15-D15</f>
        <v>0</v>
      </c>
      <c r="F15" s="210">
        <f t="shared" ref="F15:F20" si="1">ROUNDUP((D15*fee/5),0)*5</f>
        <v>0</v>
      </c>
      <c r="G15" s="172"/>
      <c r="H15" s="294">
        <v>0</v>
      </c>
      <c r="I15" s="301">
        <f>F15-H15</f>
        <v>0</v>
      </c>
    </row>
    <row r="16" spans="1:10">
      <c r="A16" s="153">
        <v>0</v>
      </c>
      <c r="B16" s="227" t="s">
        <v>84</v>
      </c>
      <c r="C16" s="80"/>
      <c r="D16" s="228">
        <v>0</v>
      </c>
      <c r="E16" s="329">
        <f t="shared" si="0"/>
        <v>0</v>
      </c>
      <c r="F16" s="211">
        <f t="shared" si="1"/>
        <v>0</v>
      </c>
      <c r="G16" s="172"/>
      <c r="H16" s="249">
        <v>0</v>
      </c>
      <c r="I16" s="302">
        <f>F16-H16</f>
        <v>0</v>
      </c>
    </row>
    <row r="17" spans="1:11">
      <c r="A17" s="153">
        <v>0</v>
      </c>
      <c r="B17" s="227" t="s">
        <v>84</v>
      </c>
      <c r="C17" s="80"/>
      <c r="D17" s="228">
        <v>0</v>
      </c>
      <c r="E17" s="329">
        <f t="shared" si="0"/>
        <v>0</v>
      </c>
      <c r="F17" s="211">
        <f t="shared" si="1"/>
        <v>0</v>
      </c>
      <c r="G17" s="172"/>
      <c r="H17" s="249">
        <v>0</v>
      </c>
      <c r="I17" s="302">
        <f t="shared" ref="I17:I20" si="2">F17-H17</f>
        <v>0</v>
      </c>
    </row>
    <row r="18" spans="1:11">
      <c r="A18" s="153">
        <v>0</v>
      </c>
      <c r="B18" s="227" t="s">
        <v>84</v>
      </c>
      <c r="C18" s="80"/>
      <c r="D18" s="228">
        <v>0</v>
      </c>
      <c r="E18" s="329">
        <f t="shared" si="0"/>
        <v>0</v>
      </c>
      <c r="F18" s="211">
        <f t="shared" si="1"/>
        <v>0</v>
      </c>
      <c r="G18" s="172"/>
      <c r="H18" s="249">
        <v>0</v>
      </c>
      <c r="I18" s="302">
        <f t="shared" si="2"/>
        <v>0</v>
      </c>
    </row>
    <row r="19" spans="1:11">
      <c r="A19" s="153">
        <v>0</v>
      </c>
      <c r="B19" s="227" t="s">
        <v>84</v>
      </c>
      <c r="C19" s="80"/>
      <c r="D19" s="228">
        <v>0</v>
      </c>
      <c r="E19" s="329">
        <f t="shared" si="0"/>
        <v>0</v>
      </c>
      <c r="F19" s="211">
        <f t="shared" si="1"/>
        <v>0</v>
      </c>
      <c r="G19" s="172"/>
      <c r="H19" s="249">
        <v>0</v>
      </c>
      <c r="I19" s="302">
        <f t="shared" si="2"/>
        <v>0</v>
      </c>
    </row>
    <row r="20" spans="1:11">
      <c r="A20" s="106">
        <v>0</v>
      </c>
      <c r="B20" s="74" t="s">
        <v>84</v>
      </c>
      <c r="C20" s="80"/>
      <c r="D20" s="195">
        <v>0</v>
      </c>
      <c r="E20" s="329">
        <f t="shared" si="0"/>
        <v>0</v>
      </c>
      <c r="F20" s="211">
        <f t="shared" si="1"/>
        <v>0</v>
      </c>
      <c r="G20" s="172"/>
      <c r="H20" s="296">
        <v>0</v>
      </c>
      <c r="I20" s="303">
        <f t="shared" si="2"/>
        <v>0</v>
      </c>
    </row>
    <row r="21" spans="1:11">
      <c r="A21" s="153" t="s">
        <v>11</v>
      </c>
      <c r="B21" s="227" t="s">
        <v>11</v>
      </c>
      <c r="D21" s="162" t="s">
        <v>11</v>
      </c>
      <c r="E21" s="162" t="s">
        <v>11</v>
      </c>
      <c r="F21" s="162" t="s">
        <v>11</v>
      </c>
      <c r="G21" s="172"/>
      <c r="H21" s="85"/>
    </row>
    <row r="22" spans="1:11">
      <c r="A22" s="106">
        <v>0</v>
      </c>
      <c r="B22" s="117" t="s">
        <v>85</v>
      </c>
      <c r="D22" s="228">
        <v>0</v>
      </c>
      <c r="E22" s="211">
        <f t="shared" si="0"/>
        <v>0</v>
      </c>
      <c r="F22" s="195">
        <v>0</v>
      </c>
      <c r="G22" s="172"/>
      <c r="H22" s="310">
        <v>0</v>
      </c>
      <c r="I22" s="311">
        <f t="shared" ref="I22" si="3">F22-H22</f>
        <v>0</v>
      </c>
    </row>
    <row r="23" spans="1:11">
      <c r="A23" s="153" t="s">
        <v>11</v>
      </c>
      <c r="B23" s="227" t="s">
        <v>11</v>
      </c>
      <c r="D23" s="162" t="s">
        <v>11</v>
      </c>
      <c r="E23" s="162" t="s">
        <v>11</v>
      </c>
      <c r="F23" s="162" t="s">
        <v>11</v>
      </c>
      <c r="G23" s="172"/>
      <c r="H23" s="85"/>
    </row>
    <row r="24" spans="1:11">
      <c r="A24" s="106" t="s">
        <v>11</v>
      </c>
      <c r="B24" s="89" t="s">
        <v>11</v>
      </c>
      <c r="C24" s="107" t="s">
        <v>11</v>
      </c>
      <c r="D24" s="164" t="s">
        <v>11</v>
      </c>
      <c r="E24" s="162" t="s">
        <v>11</v>
      </c>
      <c r="F24" s="162" t="s">
        <v>11</v>
      </c>
      <c r="G24" s="172"/>
      <c r="I24" s="146"/>
    </row>
    <row r="25" spans="1:11">
      <c r="B25" s="97" t="str">
        <f>B14</f>
        <v>Floor</v>
      </c>
      <c r="C25" s="80"/>
      <c r="D25" s="212">
        <f>SUM(D15:D24)</f>
        <v>0</v>
      </c>
      <c r="E25" s="212">
        <f>SUM(E15:E24)</f>
        <v>0</v>
      </c>
      <c r="F25" s="179">
        <f>SUM(F15:F24)</f>
        <v>0</v>
      </c>
      <c r="G25" s="174"/>
      <c r="H25" s="315">
        <f>SUM(H15:H24)</f>
        <v>0</v>
      </c>
      <c r="I25" s="230">
        <f>F25-H25</f>
        <v>0</v>
      </c>
    </row>
    <row r="26" spans="1:11">
      <c r="B26" s="175" t="s">
        <v>11</v>
      </c>
      <c r="C26" s="80"/>
      <c r="D26" s="172"/>
      <c r="E26" s="172"/>
      <c r="F26" s="172"/>
      <c r="G26" s="172"/>
      <c r="K26" s="176" t="s">
        <v>11</v>
      </c>
    </row>
    <row r="27" spans="1:11">
      <c r="B27" s="175"/>
      <c r="C27" s="80"/>
      <c r="D27" s="172"/>
      <c r="E27" s="172"/>
      <c r="F27" s="172"/>
      <c r="G27" s="172"/>
    </row>
    <row r="28" spans="1:11">
      <c r="B28" s="73" t="s">
        <v>86</v>
      </c>
      <c r="C28" s="80"/>
      <c r="D28" s="172"/>
      <c r="E28" s="172"/>
      <c r="F28" s="335"/>
      <c r="G28" s="172"/>
      <c r="H28" s="293" t="s">
        <v>83</v>
      </c>
      <c r="I28" s="293" t="s">
        <v>77</v>
      </c>
    </row>
    <row r="29" spans="1:11">
      <c r="A29" s="153">
        <v>0</v>
      </c>
      <c r="B29" s="225" t="s">
        <v>84</v>
      </c>
      <c r="D29" s="170">
        <v>0</v>
      </c>
      <c r="E29" s="210">
        <f t="shared" ref="E29:E37" si="4">F29-D29</f>
        <v>0</v>
      </c>
      <c r="F29" s="211">
        <f t="shared" ref="F29:F37" si="5">ROUNDUP((D29*fee/5),0)*5</f>
        <v>0</v>
      </c>
      <c r="G29" s="172"/>
      <c r="H29" s="294">
        <v>0</v>
      </c>
      <c r="I29" s="301">
        <f>F29-H29</f>
        <v>0</v>
      </c>
    </row>
    <row r="30" spans="1:11">
      <c r="A30" s="153">
        <v>0</v>
      </c>
      <c r="B30" s="227" t="s">
        <v>84</v>
      </c>
      <c r="D30" s="173">
        <v>0</v>
      </c>
      <c r="E30" s="211">
        <f t="shared" si="4"/>
        <v>0</v>
      </c>
      <c r="F30" s="211">
        <f t="shared" si="5"/>
        <v>0</v>
      </c>
      <c r="G30" s="172"/>
      <c r="H30" s="249">
        <v>0</v>
      </c>
      <c r="I30" s="302">
        <f>F30-H30</f>
        <v>0</v>
      </c>
    </row>
    <row r="31" spans="1:11">
      <c r="A31" s="153">
        <v>0</v>
      </c>
      <c r="B31" s="227" t="s">
        <v>84</v>
      </c>
      <c r="D31" s="173">
        <v>0</v>
      </c>
      <c r="E31" s="211">
        <f t="shared" si="4"/>
        <v>0</v>
      </c>
      <c r="F31" s="211">
        <f t="shared" si="5"/>
        <v>0</v>
      </c>
      <c r="G31" s="172"/>
      <c r="H31" s="249">
        <v>0</v>
      </c>
      <c r="I31" s="302">
        <f t="shared" ref="I31:I37" si="6">F31-H31</f>
        <v>0</v>
      </c>
    </row>
    <row r="32" spans="1:11">
      <c r="A32" s="153">
        <v>0</v>
      </c>
      <c r="B32" s="227" t="s">
        <v>84</v>
      </c>
      <c r="D32" s="173">
        <v>0</v>
      </c>
      <c r="E32" s="211">
        <f t="shared" si="4"/>
        <v>0</v>
      </c>
      <c r="F32" s="211">
        <f t="shared" si="5"/>
        <v>0</v>
      </c>
      <c r="G32" s="172"/>
      <c r="H32" s="249">
        <v>0</v>
      </c>
      <c r="I32" s="302">
        <f t="shared" si="6"/>
        <v>0</v>
      </c>
    </row>
    <row r="33" spans="1:11">
      <c r="A33" s="153">
        <v>0</v>
      </c>
      <c r="B33" s="227" t="s">
        <v>84</v>
      </c>
      <c r="D33" s="173">
        <v>0</v>
      </c>
      <c r="E33" s="211">
        <f t="shared" si="4"/>
        <v>0</v>
      </c>
      <c r="F33" s="211">
        <f t="shared" si="5"/>
        <v>0</v>
      </c>
      <c r="G33" s="172"/>
      <c r="H33" s="249">
        <v>0</v>
      </c>
      <c r="I33" s="302">
        <f t="shared" si="6"/>
        <v>0</v>
      </c>
    </row>
    <row r="34" spans="1:11">
      <c r="A34" s="153">
        <v>0</v>
      </c>
      <c r="B34" s="227" t="s">
        <v>84</v>
      </c>
      <c r="D34" s="173">
        <v>0</v>
      </c>
      <c r="E34" s="211">
        <f t="shared" si="4"/>
        <v>0</v>
      </c>
      <c r="F34" s="211">
        <f t="shared" si="5"/>
        <v>0</v>
      </c>
      <c r="G34" s="172"/>
      <c r="H34" s="249">
        <v>0</v>
      </c>
      <c r="I34" s="302">
        <f t="shared" si="6"/>
        <v>0</v>
      </c>
    </row>
    <row r="35" spans="1:11">
      <c r="A35" s="153">
        <v>0</v>
      </c>
      <c r="B35" s="227" t="s">
        <v>84</v>
      </c>
      <c r="D35" s="173">
        <v>0</v>
      </c>
      <c r="E35" s="211">
        <f t="shared" si="4"/>
        <v>0</v>
      </c>
      <c r="F35" s="211">
        <f t="shared" si="5"/>
        <v>0</v>
      </c>
      <c r="G35" s="172"/>
      <c r="H35" s="249">
        <v>0</v>
      </c>
      <c r="I35" s="302">
        <f t="shared" si="6"/>
        <v>0</v>
      </c>
    </row>
    <row r="36" spans="1:11">
      <c r="A36" s="153">
        <v>0</v>
      </c>
      <c r="B36" s="227" t="s">
        <v>84</v>
      </c>
      <c r="D36" s="173">
        <v>0</v>
      </c>
      <c r="E36" s="211">
        <f t="shared" si="4"/>
        <v>0</v>
      </c>
      <c r="F36" s="211">
        <f t="shared" si="5"/>
        <v>0</v>
      </c>
      <c r="G36" s="172"/>
      <c r="H36" s="249">
        <v>0</v>
      </c>
      <c r="I36" s="302">
        <f t="shared" si="6"/>
        <v>0</v>
      </c>
    </row>
    <row r="37" spans="1:11">
      <c r="A37" s="153">
        <v>0</v>
      </c>
      <c r="B37" s="227" t="s">
        <v>84</v>
      </c>
      <c r="D37" s="173">
        <v>0</v>
      </c>
      <c r="E37" s="211">
        <f t="shared" si="4"/>
        <v>0</v>
      </c>
      <c r="F37" s="211">
        <f t="shared" si="5"/>
        <v>0</v>
      </c>
      <c r="G37" s="172"/>
      <c r="H37" s="296">
        <v>0</v>
      </c>
      <c r="I37" s="303">
        <f t="shared" si="6"/>
        <v>0</v>
      </c>
    </row>
    <row r="38" spans="1:11">
      <c r="A38" s="153" t="s">
        <v>11</v>
      </c>
      <c r="B38" s="227" t="s">
        <v>11</v>
      </c>
      <c r="D38" s="162" t="s">
        <v>11</v>
      </c>
      <c r="E38" s="162" t="s">
        <v>11</v>
      </c>
      <c r="F38" s="162" t="s">
        <v>11</v>
      </c>
      <c r="G38" s="172"/>
      <c r="H38" s="169"/>
    </row>
    <row r="39" spans="1:11">
      <c r="A39" s="106">
        <v>0</v>
      </c>
      <c r="B39" s="117" t="s">
        <v>85</v>
      </c>
      <c r="D39" s="228">
        <v>0</v>
      </c>
      <c r="E39" s="211">
        <f t="shared" ref="E39" si="7">F39-D39</f>
        <v>0</v>
      </c>
      <c r="F39" s="195">
        <v>0</v>
      </c>
      <c r="G39" s="172"/>
      <c r="H39" s="310">
        <v>0</v>
      </c>
      <c r="I39" s="311">
        <f t="shared" ref="I39" si="8">F39-H39</f>
        <v>0</v>
      </c>
    </row>
    <row r="40" spans="1:11">
      <c r="B40" s="89"/>
      <c r="D40" s="164"/>
      <c r="E40" s="164"/>
      <c r="F40" s="164"/>
      <c r="G40" s="172"/>
      <c r="I40" s="146"/>
    </row>
    <row r="41" spans="1:11">
      <c r="B41" s="97" t="str">
        <f>B28</f>
        <v>Walls</v>
      </c>
      <c r="C41" s="80"/>
      <c r="D41" s="213">
        <f>SUM(D29:D40)</f>
        <v>0</v>
      </c>
      <c r="E41" s="213">
        <f>SUM(E29:E40)</f>
        <v>0</v>
      </c>
      <c r="F41" s="182">
        <f>SUM(F29:F40)</f>
        <v>0</v>
      </c>
      <c r="G41" s="174"/>
      <c r="H41" s="315">
        <f>SUM(H29:H40)</f>
        <v>0</v>
      </c>
      <c r="I41" s="230">
        <f>F41-H41</f>
        <v>0</v>
      </c>
    </row>
    <row r="42" spans="1:11">
      <c r="B42" s="175" t="s">
        <v>11</v>
      </c>
      <c r="C42" s="80"/>
      <c r="D42" s="172"/>
      <c r="E42" s="172"/>
      <c r="F42" s="172"/>
      <c r="G42" s="172"/>
      <c r="J42" s="178" t="s">
        <v>11</v>
      </c>
      <c r="K42" s="176" t="s">
        <v>11</v>
      </c>
    </row>
    <row r="43" spans="1:11">
      <c r="B43" s="175"/>
      <c r="C43" s="80"/>
      <c r="D43" s="172"/>
      <c r="E43" s="172"/>
      <c r="F43" s="172"/>
      <c r="G43" s="172"/>
    </row>
    <row r="44" spans="1:11">
      <c r="B44" s="73" t="s">
        <v>87</v>
      </c>
      <c r="C44" s="80"/>
      <c r="D44" s="172"/>
      <c r="E44" s="172"/>
      <c r="F44" s="335"/>
      <c r="G44" s="172"/>
      <c r="H44" s="293" t="s">
        <v>83</v>
      </c>
      <c r="I44" s="293" t="s">
        <v>77</v>
      </c>
    </row>
    <row r="45" spans="1:11">
      <c r="A45" s="158">
        <v>0</v>
      </c>
      <c r="B45" s="159" t="s">
        <v>84</v>
      </c>
      <c r="C45" s="107" t="s">
        <v>11</v>
      </c>
      <c r="D45" s="170">
        <v>0</v>
      </c>
      <c r="E45" s="210">
        <f>F45-D45</f>
        <v>0</v>
      </c>
      <c r="F45" s="211">
        <f t="shared" ref="F45:F47" si="9">ROUNDUP((D45*fee/5),0)*5</f>
        <v>0</v>
      </c>
      <c r="G45" s="172"/>
      <c r="H45" s="294">
        <v>0</v>
      </c>
      <c r="I45" s="301">
        <f>F45-H45</f>
        <v>0</v>
      </c>
    </row>
    <row r="46" spans="1:11">
      <c r="A46" s="153">
        <v>0</v>
      </c>
      <c r="B46" s="227" t="s">
        <v>84</v>
      </c>
      <c r="D46" s="173">
        <v>0</v>
      </c>
      <c r="E46" s="211">
        <f t="shared" ref="E46:E47" si="10">F46-D46</f>
        <v>0</v>
      </c>
      <c r="F46" s="211">
        <f t="shared" si="9"/>
        <v>0</v>
      </c>
      <c r="G46" s="172"/>
      <c r="H46" s="249">
        <v>0</v>
      </c>
      <c r="I46" s="302">
        <f>F46-H46</f>
        <v>0</v>
      </c>
    </row>
    <row r="47" spans="1:11">
      <c r="A47" s="153">
        <v>0</v>
      </c>
      <c r="B47" s="227" t="s">
        <v>84</v>
      </c>
      <c r="D47" s="173">
        <v>0</v>
      </c>
      <c r="E47" s="211">
        <f t="shared" si="10"/>
        <v>0</v>
      </c>
      <c r="F47" s="211">
        <f t="shared" si="9"/>
        <v>0</v>
      </c>
      <c r="G47" s="172"/>
      <c r="H47" s="249">
        <v>0</v>
      </c>
      <c r="I47" s="302">
        <f t="shared" ref="I47" si="11">F47-H47</f>
        <v>0</v>
      </c>
    </row>
    <row r="48" spans="1:11">
      <c r="B48" s="74"/>
      <c r="D48" s="164"/>
      <c r="E48" s="164"/>
      <c r="F48" s="164"/>
      <c r="G48" s="172"/>
    </row>
    <row r="49" spans="1:11">
      <c r="B49" s="97" t="str">
        <f>B44</f>
        <v>Rigging</v>
      </c>
      <c r="C49" s="80"/>
      <c r="D49" s="212">
        <f>SUM(D45:D48)</f>
        <v>0</v>
      </c>
      <c r="E49" s="212">
        <f>SUM(E45:E48)</f>
        <v>0</v>
      </c>
      <c r="F49" s="179">
        <f>SUM(F45:F48)</f>
        <v>0</v>
      </c>
      <c r="G49" s="174"/>
      <c r="H49" s="315">
        <f>SUM(H45:H48)</f>
        <v>0</v>
      </c>
      <c r="I49" s="230">
        <f>F49-H49</f>
        <v>0</v>
      </c>
      <c r="J49" s="178" t="s">
        <v>11</v>
      </c>
      <c r="K49" s="176" t="s">
        <v>11</v>
      </c>
    </row>
    <row r="50" spans="1:11">
      <c r="B50" s="175"/>
      <c r="C50" s="80"/>
      <c r="D50" s="172"/>
      <c r="E50" s="172"/>
      <c r="F50" s="172"/>
      <c r="G50" s="172"/>
    </row>
    <row r="51" spans="1:11">
      <c r="B51" s="175"/>
      <c r="C51" s="80"/>
      <c r="D51" s="172"/>
      <c r="E51" s="172"/>
      <c r="F51" s="172"/>
      <c r="G51" s="172"/>
    </row>
    <row r="52" spans="1:11">
      <c r="B52" s="73" t="s">
        <v>88</v>
      </c>
      <c r="C52" s="80"/>
      <c r="D52" s="172"/>
      <c r="E52" s="172"/>
      <c r="F52" s="335"/>
      <c r="G52" s="172"/>
      <c r="H52" s="293" t="s">
        <v>83</v>
      </c>
      <c r="I52" s="293" t="s">
        <v>77</v>
      </c>
    </row>
    <row r="53" spans="1:11">
      <c r="A53" s="153">
        <v>0</v>
      </c>
      <c r="B53" s="225" t="s">
        <v>84</v>
      </c>
      <c r="D53" s="170">
        <v>0</v>
      </c>
      <c r="E53" s="210">
        <f>F53-D53</f>
        <v>0</v>
      </c>
      <c r="F53" s="211">
        <f t="shared" ref="F53:F66" si="12">ROUNDUP((D53*fee/5),0)*5</f>
        <v>0</v>
      </c>
      <c r="G53" s="172"/>
      <c r="H53" s="294">
        <v>0</v>
      </c>
      <c r="I53" s="301">
        <f>F53-H53</f>
        <v>0</v>
      </c>
    </row>
    <row r="54" spans="1:11">
      <c r="A54" s="153">
        <v>0</v>
      </c>
      <c r="B54" s="227" t="s">
        <v>84</v>
      </c>
      <c r="D54" s="173">
        <v>0</v>
      </c>
      <c r="E54" s="211">
        <f>F54-D54</f>
        <v>0</v>
      </c>
      <c r="F54" s="211">
        <f t="shared" si="12"/>
        <v>0</v>
      </c>
      <c r="G54" s="172"/>
      <c r="H54" s="249">
        <v>0</v>
      </c>
      <c r="I54" s="302">
        <f>F54-H54</f>
        <v>0</v>
      </c>
    </row>
    <row r="55" spans="1:11">
      <c r="A55" s="153">
        <v>0</v>
      </c>
      <c r="B55" s="227" t="s">
        <v>84</v>
      </c>
      <c r="D55" s="173">
        <v>0</v>
      </c>
      <c r="E55" s="211">
        <f>F55-D55</f>
        <v>0</v>
      </c>
      <c r="F55" s="211">
        <f t="shared" si="12"/>
        <v>0</v>
      </c>
      <c r="G55" s="172"/>
      <c r="H55" s="249">
        <v>0</v>
      </c>
      <c r="I55" s="302">
        <f t="shared" ref="I55:I64" si="13">F55-H55</f>
        <v>0</v>
      </c>
    </row>
    <row r="56" spans="1:11">
      <c r="A56" s="153">
        <v>0</v>
      </c>
      <c r="B56" s="227" t="s">
        <v>84</v>
      </c>
      <c r="D56" s="173">
        <v>0</v>
      </c>
      <c r="E56" s="211">
        <f t="shared" ref="E56:E66" si="14">F56-D56</f>
        <v>0</v>
      </c>
      <c r="F56" s="211">
        <f t="shared" si="12"/>
        <v>0</v>
      </c>
      <c r="G56" s="172"/>
      <c r="H56" s="249">
        <v>0</v>
      </c>
      <c r="I56" s="302">
        <f t="shared" si="13"/>
        <v>0</v>
      </c>
    </row>
    <row r="57" spans="1:11">
      <c r="A57" s="153">
        <v>0</v>
      </c>
      <c r="B57" s="227" t="s">
        <v>84</v>
      </c>
      <c r="D57" s="173">
        <v>0</v>
      </c>
      <c r="E57" s="211">
        <f t="shared" si="14"/>
        <v>0</v>
      </c>
      <c r="F57" s="211">
        <f t="shared" si="12"/>
        <v>0</v>
      </c>
      <c r="G57" s="172"/>
      <c r="H57" s="249">
        <v>0</v>
      </c>
      <c r="I57" s="302">
        <f t="shared" si="13"/>
        <v>0</v>
      </c>
    </row>
    <row r="58" spans="1:11">
      <c r="A58" s="153">
        <v>0</v>
      </c>
      <c r="B58" s="227" t="s">
        <v>84</v>
      </c>
      <c r="D58" s="173">
        <v>0</v>
      </c>
      <c r="E58" s="211">
        <f t="shared" si="14"/>
        <v>0</v>
      </c>
      <c r="F58" s="211">
        <f t="shared" si="12"/>
        <v>0</v>
      </c>
      <c r="G58" s="172"/>
      <c r="H58" s="249">
        <v>0</v>
      </c>
      <c r="I58" s="302">
        <f t="shared" si="13"/>
        <v>0</v>
      </c>
    </row>
    <row r="59" spans="1:11">
      <c r="A59" s="153">
        <v>0</v>
      </c>
      <c r="B59" s="227" t="s">
        <v>84</v>
      </c>
      <c r="D59" s="173">
        <v>0</v>
      </c>
      <c r="E59" s="211">
        <f t="shared" si="14"/>
        <v>0</v>
      </c>
      <c r="F59" s="211">
        <f t="shared" si="12"/>
        <v>0</v>
      </c>
      <c r="G59" s="172"/>
      <c r="H59" s="249">
        <v>0</v>
      </c>
      <c r="I59" s="302">
        <f t="shared" si="13"/>
        <v>0</v>
      </c>
    </row>
    <row r="60" spans="1:11">
      <c r="A60" s="153">
        <v>0</v>
      </c>
      <c r="B60" s="227" t="s">
        <v>84</v>
      </c>
      <c r="D60" s="173">
        <v>0</v>
      </c>
      <c r="E60" s="211">
        <f t="shared" si="14"/>
        <v>0</v>
      </c>
      <c r="F60" s="211">
        <f t="shared" si="12"/>
        <v>0</v>
      </c>
      <c r="G60" s="172"/>
      <c r="H60" s="249">
        <v>0</v>
      </c>
      <c r="I60" s="302">
        <f t="shared" si="13"/>
        <v>0</v>
      </c>
    </row>
    <row r="61" spans="1:11">
      <c r="A61" s="153">
        <v>0</v>
      </c>
      <c r="B61" s="227" t="s">
        <v>84</v>
      </c>
      <c r="D61" s="173">
        <v>0</v>
      </c>
      <c r="E61" s="211">
        <f t="shared" si="14"/>
        <v>0</v>
      </c>
      <c r="F61" s="211">
        <f t="shared" si="12"/>
        <v>0</v>
      </c>
      <c r="G61" s="172"/>
      <c r="H61" s="249">
        <v>0</v>
      </c>
      <c r="I61" s="302">
        <f t="shared" si="13"/>
        <v>0</v>
      </c>
    </row>
    <row r="62" spans="1:11">
      <c r="A62" s="153">
        <v>0</v>
      </c>
      <c r="B62" s="227" t="s">
        <v>84</v>
      </c>
      <c r="D62" s="173">
        <v>0</v>
      </c>
      <c r="E62" s="211">
        <f t="shared" si="14"/>
        <v>0</v>
      </c>
      <c r="F62" s="211">
        <f t="shared" si="12"/>
        <v>0</v>
      </c>
      <c r="G62" s="172"/>
      <c r="H62" s="249">
        <v>0</v>
      </c>
      <c r="I62" s="302">
        <f t="shared" si="13"/>
        <v>0</v>
      </c>
    </row>
    <row r="63" spans="1:11">
      <c r="A63" s="153">
        <v>0</v>
      </c>
      <c r="B63" s="227" t="s">
        <v>84</v>
      </c>
      <c r="D63" s="173">
        <v>0</v>
      </c>
      <c r="E63" s="211">
        <f t="shared" si="14"/>
        <v>0</v>
      </c>
      <c r="F63" s="211">
        <f t="shared" si="12"/>
        <v>0</v>
      </c>
      <c r="G63" s="172"/>
      <c r="H63" s="249">
        <v>0</v>
      </c>
      <c r="I63" s="302">
        <f t="shared" si="13"/>
        <v>0</v>
      </c>
    </row>
    <row r="64" spans="1:11">
      <c r="A64" s="153">
        <v>0</v>
      </c>
      <c r="B64" s="227" t="s">
        <v>84</v>
      </c>
      <c r="D64" s="173">
        <v>0</v>
      </c>
      <c r="E64" s="211">
        <f t="shared" si="14"/>
        <v>0</v>
      </c>
      <c r="F64" s="211">
        <f t="shared" si="12"/>
        <v>0</v>
      </c>
      <c r="G64" s="172"/>
      <c r="H64" s="249">
        <v>0</v>
      </c>
      <c r="I64" s="302">
        <f t="shared" si="13"/>
        <v>0</v>
      </c>
    </row>
    <row r="65" spans="1:11">
      <c r="A65" s="153">
        <v>0</v>
      </c>
      <c r="B65" s="227" t="s">
        <v>84</v>
      </c>
      <c r="D65" s="173">
        <v>0</v>
      </c>
      <c r="E65" s="211">
        <f t="shared" si="14"/>
        <v>0</v>
      </c>
      <c r="F65" s="211">
        <f t="shared" si="12"/>
        <v>0</v>
      </c>
      <c r="G65" s="172"/>
      <c r="H65" s="249">
        <v>0</v>
      </c>
      <c r="I65" s="302">
        <f>F65-H65</f>
        <v>0</v>
      </c>
    </row>
    <row r="66" spans="1:11">
      <c r="A66" s="153">
        <v>0</v>
      </c>
      <c r="B66" s="227" t="s">
        <v>84</v>
      </c>
      <c r="D66" s="173">
        <v>0</v>
      </c>
      <c r="E66" s="211">
        <f t="shared" si="14"/>
        <v>0</v>
      </c>
      <c r="F66" s="211">
        <f t="shared" si="12"/>
        <v>0</v>
      </c>
      <c r="G66" s="172"/>
      <c r="H66" s="249">
        <v>0</v>
      </c>
      <c r="I66" s="302">
        <f t="shared" ref="I66" si="15">F66-H66</f>
        <v>0</v>
      </c>
    </row>
    <row r="67" spans="1:11">
      <c r="B67" s="89"/>
      <c r="D67" s="164"/>
      <c r="E67" s="164"/>
      <c r="F67" s="164"/>
      <c r="G67" s="172"/>
    </row>
    <row r="68" spans="1:11">
      <c r="B68" s="97" t="str">
        <f>B52</f>
        <v>Pantry</v>
      </c>
      <c r="C68" s="80"/>
      <c r="D68" s="212">
        <f>SUM(D53:D66)</f>
        <v>0</v>
      </c>
      <c r="E68" s="212">
        <f>SUM(E53:E66)</f>
        <v>0</v>
      </c>
      <c r="F68" s="179">
        <f>SUM(F53:F66)</f>
        <v>0</v>
      </c>
      <c r="G68" s="174"/>
      <c r="H68" s="315">
        <f>SUM(H53:H67)</f>
        <v>0</v>
      </c>
      <c r="I68" s="230">
        <f>F68-H68</f>
        <v>0</v>
      </c>
    </row>
    <row r="69" spans="1:11">
      <c r="B69" s="175" t="s">
        <v>11</v>
      </c>
      <c r="C69" s="80"/>
      <c r="D69" s="172"/>
      <c r="E69" s="172"/>
      <c r="F69" s="172"/>
      <c r="G69" s="172"/>
      <c r="J69" s="178" t="s">
        <v>11</v>
      </c>
      <c r="K69" s="176" t="s">
        <v>11</v>
      </c>
    </row>
    <row r="70" spans="1:11">
      <c r="B70" s="175"/>
      <c r="C70" s="80"/>
      <c r="D70" s="172"/>
      <c r="E70" s="172"/>
      <c r="F70" s="172"/>
      <c r="G70" s="172"/>
    </row>
    <row r="71" spans="1:11">
      <c r="B71" s="73" t="s">
        <v>89</v>
      </c>
      <c r="C71" s="80"/>
      <c r="D71" s="172"/>
      <c r="E71" s="172"/>
      <c r="F71" s="335"/>
      <c r="G71" s="172"/>
      <c r="H71" s="293" t="s">
        <v>83</v>
      </c>
      <c r="I71" s="293" t="s">
        <v>77</v>
      </c>
    </row>
    <row r="72" spans="1:11">
      <c r="A72" s="106">
        <v>0</v>
      </c>
      <c r="B72" s="227" t="s">
        <v>84</v>
      </c>
      <c r="D72" s="170">
        <v>0</v>
      </c>
      <c r="E72" s="210">
        <f t="shared" ref="E72:E83" si="16">F72-D72</f>
        <v>0</v>
      </c>
      <c r="F72" s="211">
        <f t="shared" ref="F72:F83" si="17">ROUNDUP((D72*fee/5),0)*5</f>
        <v>0</v>
      </c>
      <c r="G72" s="172"/>
      <c r="H72" s="294">
        <v>0</v>
      </c>
      <c r="I72" s="301">
        <f>F72-H72</f>
        <v>0</v>
      </c>
    </row>
    <row r="73" spans="1:11">
      <c r="A73" s="106">
        <v>0</v>
      </c>
      <c r="B73" s="227" t="s">
        <v>84</v>
      </c>
      <c r="D73" s="173">
        <v>0</v>
      </c>
      <c r="E73" s="211">
        <f t="shared" si="16"/>
        <v>0</v>
      </c>
      <c r="F73" s="211">
        <f t="shared" si="17"/>
        <v>0</v>
      </c>
      <c r="G73" s="172"/>
      <c r="H73" s="249">
        <v>0</v>
      </c>
      <c r="I73" s="302">
        <f>F73-H73</f>
        <v>0</v>
      </c>
    </row>
    <row r="74" spans="1:11">
      <c r="A74" s="106">
        <v>0</v>
      </c>
      <c r="B74" s="227" t="s">
        <v>84</v>
      </c>
      <c r="D74" s="173">
        <v>0</v>
      </c>
      <c r="E74" s="211">
        <f t="shared" si="16"/>
        <v>0</v>
      </c>
      <c r="F74" s="211">
        <f t="shared" si="17"/>
        <v>0</v>
      </c>
      <c r="G74" s="172"/>
      <c r="H74" s="249">
        <v>0</v>
      </c>
      <c r="I74" s="302">
        <f t="shared" ref="I74:I77" si="18">F74-H74</f>
        <v>0</v>
      </c>
    </row>
    <row r="75" spans="1:11">
      <c r="A75" s="106">
        <v>0</v>
      </c>
      <c r="B75" s="227" t="s">
        <v>84</v>
      </c>
      <c r="D75" s="173">
        <v>0</v>
      </c>
      <c r="E75" s="211">
        <f t="shared" si="16"/>
        <v>0</v>
      </c>
      <c r="F75" s="211">
        <f t="shared" si="17"/>
        <v>0</v>
      </c>
      <c r="G75" s="172"/>
      <c r="H75" s="249">
        <v>0</v>
      </c>
      <c r="I75" s="302">
        <f t="shared" si="18"/>
        <v>0</v>
      </c>
    </row>
    <row r="76" spans="1:11">
      <c r="A76" s="106">
        <v>0</v>
      </c>
      <c r="B76" s="227" t="s">
        <v>84</v>
      </c>
      <c r="D76" s="173">
        <v>0</v>
      </c>
      <c r="E76" s="211">
        <f t="shared" si="16"/>
        <v>0</v>
      </c>
      <c r="F76" s="211">
        <f t="shared" si="17"/>
        <v>0</v>
      </c>
      <c r="G76" s="172"/>
      <c r="H76" s="249">
        <v>0</v>
      </c>
      <c r="I76" s="302">
        <f t="shared" si="18"/>
        <v>0</v>
      </c>
    </row>
    <row r="77" spans="1:11">
      <c r="A77" s="106">
        <v>0</v>
      </c>
      <c r="B77" s="227" t="s">
        <v>84</v>
      </c>
      <c r="D77" s="173">
        <v>0</v>
      </c>
      <c r="E77" s="211">
        <f t="shared" si="16"/>
        <v>0</v>
      </c>
      <c r="F77" s="211">
        <f t="shared" si="17"/>
        <v>0</v>
      </c>
      <c r="G77" s="172"/>
      <c r="H77" s="249">
        <v>0</v>
      </c>
      <c r="I77" s="302">
        <f t="shared" si="18"/>
        <v>0</v>
      </c>
    </row>
    <row r="78" spans="1:11">
      <c r="A78" s="106">
        <v>0</v>
      </c>
      <c r="B78" s="227" t="s">
        <v>84</v>
      </c>
      <c r="D78" s="173">
        <v>0</v>
      </c>
      <c r="E78" s="211">
        <f t="shared" si="16"/>
        <v>0</v>
      </c>
      <c r="F78" s="211">
        <f t="shared" si="17"/>
        <v>0</v>
      </c>
      <c r="G78" s="172"/>
      <c r="H78" s="249">
        <v>0</v>
      </c>
      <c r="I78" s="302">
        <f>F78-H78</f>
        <v>0</v>
      </c>
    </row>
    <row r="79" spans="1:11">
      <c r="A79" s="106">
        <v>0</v>
      </c>
      <c r="B79" s="227" t="s">
        <v>84</v>
      </c>
      <c r="D79" s="173">
        <v>0</v>
      </c>
      <c r="E79" s="211">
        <f t="shared" si="16"/>
        <v>0</v>
      </c>
      <c r="F79" s="211">
        <f t="shared" si="17"/>
        <v>0</v>
      </c>
      <c r="G79" s="172"/>
      <c r="H79" s="249">
        <v>0</v>
      </c>
      <c r="I79" s="302">
        <f t="shared" ref="I79:I83" si="19">F79-H79</f>
        <v>0</v>
      </c>
    </row>
    <row r="80" spans="1:11">
      <c r="A80" s="106">
        <v>0</v>
      </c>
      <c r="B80" s="227" t="s">
        <v>84</v>
      </c>
      <c r="D80" s="173">
        <v>0</v>
      </c>
      <c r="E80" s="211">
        <f t="shared" si="16"/>
        <v>0</v>
      </c>
      <c r="F80" s="211">
        <f t="shared" si="17"/>
        <v>0</v>
      </c>
      <c r="G80" s="172"/>
      <c r="H80" s="249">
        <v>0</v>
      </c>
      <c r="I80" s="302">
        <f t="shared" si="19"/>
        <v>0</v>
      </c>
    </row>
    <row r="81" spans="1:12">
      <c r="A81" s="106">
        <v>0</v>
      </c>
      <c r="B81" s="227" t="s">
        <v>84</v>
      </c>
      <c r="D81" s="173">
        <v>0</v>
      </c>
      <c r="E81" s="211">
        <f t="shared" si="16"/>
        <v>0</v>
      </c>
      <c r="F81" s="211">
        <f t="shared" si="17"/>
        <v>0</v>
      </c>
      <c r="G81" s="172"/>
      <c r="H81" s="249">
        <v>0</v>
      </c>
      <c r="I81" s="302">
        <f t="shared" si="19"/>
        <v>0</v>
      </c>
    </row>
    <row r="82" spans="1:12">
      <c r="A82" s="106">
        <v>0</v>
      </c>
      <c r="B82" s="227" t="s">
        <v>84</v>
      </c>
      <c r="D82" s="173">
        <v>0</v>
      </c>
      <c r="E82" s="211">
        <f t="shared" si="16"/>
        <v>0</v>
      </c>
      <c r="F82" s="211">
        <f t="shared" si="17"/>
        <v>0</v>
      </c>
      <c r="G82" s="172"/>
      <c r="H82" s="249">
        <v>0</v>
      </c>
      <c r="I82" s="302">
        <f t="shared" si="19"/>
        <v>0</v>
      </c>
    </row>
    <row r="83" spans="1:12">
      <c r="A83" s="106">
        <v>0</v>
      </c>
      <c r="B83" s="227" t="s">
        <v>84</v>
      </c>
      <c r="D83" s="173">
        <v>0</v>
      </c>
      <c r="E83" s="211">
        <f t="shared" si="16"/>
        <v>0</v>
      </c>
      <c r="F83" s="211">
        <f t="shared" si="17"/>
        <v>0</v>
      </c>
      <c r="G83" s="172"/>
      <c r="H83" s="249">
        <v>0</v>
      </c>
      <c r="I83" s="302">
        <f t="shared" si="19"/>
        <v>0</v>
      </c>
    </row>
    <row r="84" spans="1:12">
      <c r="B84" s="89"/>
      <c r="D84" s="164"/>
      <c r="E84" s="164"/>
      <c r="F84" s="164"/>
      <c r="G84" s="172"/>
    </row>
    <row r="85" spans="1:12">
      <c r="B85" s="97" t="str">
        <f>B71</f>
        <v>Furniture</v>
      </c>
      <c r="C85" s="80"/>
      <c r="D85" s="212">
        <f>SUM(D72:D84)</f>
        <v>0</v>
      </c>
      <c r="E85" s="212">
        <f>SUM(E72:E84)</f>
        <v>0</v>
      </c>
      <c r="F85" s="179">
        <f>SUM(F72:F84)</f>
        <v>0</v>
      </c>
      <c r="G85" s="174"/>
      <c r="H85" s="315">
        <f>SUM(H72:H84)</f>
        <v>0</v>
      </c>
      <c r="I85" s="230">
        <f>F85-H85</f>
        <v>0</v>
      </c>
    </row>
    <row r="86" spans="1:12">
      <c r="B86" s="175" t="s">
        <v>11</v>
      </c>
      <c r="C86" s="80"/>
      <c r="D86" s="172"/>
      <c r="E86" s="172"/>
      <c r="F86" s="172"/>
      <c r="G86" s="172"/>
      <c r="J86" s="178" t="s">
        <v>11</v>
      </c>
      <c r="K86" s="176" t="s">
        <v>11</v>
      </c>
    </row>
    <row r="87" spans="1:12">
      <c r="B87" s="175"/>
      <c r="C87" s="80"/>
      <c r="D87" s="172"/>
      <c r="E87" s="172"/>
      <c r="F87" s="172"/>
      <c r="G87" s="172"/>
      <c r="J87" s="178"/>
      <c r="K87" s="176"/>
    </row>
    <row r="88" spans="1:12">
      <c r="B88" s="73" t="s">
        <v>90</v>
      </c>
      <c r="C88" s="80"/>
      <c r="D88" s="172"/>
      <c r="E88" s="172"/>
      <c r="F88" s="335"/>
      <c r="G88" s="172"/>
      <c r="H88" s="293" t="s">
        <v>83</v>
      </c>
      <c r="I88" s="293" t="s">
        <v>77</v>
      </c>
    </row>
    <row r="89" spans="1:12" s="107" customFormat="1">
      <c r="A89" s="158">
        <v>0</v>
      </c>
      <c r="B89" s="270" t="s">
        <v>84</v>
      </c>
      <c r="D89" s="108">
        <v>0</v>
      </c>
      <c r="E89" s="214">
        <f>F89-D89</f>
        <v>0</v>
      </c>
      <c r="F89" s="211">
        <f t="shared" ref="F89:F92" si="20">ROUNDUP((D89*fee/5),0)*5</f>
        <v>0</v>
      </c>
      <c r="G89" s="172"/>
      <c r="H89" s="294">
        <v>0</v>
      </c>
      <c r="I89" s="301">
        <f>F89-H89</f>
        <v>0</v>
      </c>
      <c r="L89" s="146"/>
    </row>
    <row r="90" spans="1:12" s="107" customFormat="1">
      <c r="A90" s="106">
        <v>0</v>
      </c>
      <c r="B90" s="271" t="s">
        <v>84</v>
      </c>
      <c r="D90" s="173">
        <v>0</v>
      </c>
      <c r="E90" s="215">
        <f>F90-D90</f>
        <v>0</v>
      </c>
      <c r="F90" s="211">
        <f t="shared" si="20"/>
        <v>0</v>
      </c>
      <c r="G90" s="172"/>
      <c r="H90" s="249">
        <v>0</v>
      </c>
      <c r="I90" s="302">
        <f>F90-H90</f>
        <v>0</v>
      </c>
      <c r="L90" s="146"/>
    </row>
    <row r="91" spans="1:12" s="107" customFormat="1">
      <c r="A91" s="106">
        <v>0</v>
      </c>
      <c r="B91" s="271" t="s">
        <v>84</v>
      </c>
      <c r="D91" s="173">
        <v>0</v>
      </c>
      <c r="E91" s="215">
        <f>F91-D91</f>
        <v>0</v>
      </c>
      <c r="F91" s="211">
        <f t="shared" si="20"/>
        <v>0</v>
      </c>
      <c r="G91" s="172"/>
      <c r="H91" s="249">
        <v>0</v>
      </c>
      <c r="I91" s="302">
        <f t="shared" ref="I91:I92" si="21">F91-H91</f>
        <v>0</v>
      </c>
      <c r="L91" s="146"/>
    </row>
    <row r="92" spans="1:12" s="107" customFormat="1">
      <c r="A92" s="106">
        <v>0</v>
      </c>
      <c r="B92" s="74" t="s">
        <v>84</v>
      </c>
      <c r="D92" s="173">
        <v>0</v>
      </c>
      <c r="E92" s="215">
        <f>F92-D92</f>
        <v>0</v>
      </c>
      <c r="F92" s="211">
        <f t="shared" si="20"/>
        <v>0</v>
      </c>
      <c r="G92" s="172"/>
      <c r="H92" s="249">
        <v>0</v>
      </c>
      <c r="I92" s="302">
        <f t="shared" si="21"/>
        <v>0</v>
      </c>
      <c r="L92" s="146"/>
    </row>
    <row r="93" spans="1:12" s="107" customFormat="1">
      <c r="A93" s="106" t="s">
        <v>11</v>
      </c>
      <c r="B93" s="74"/>
      <c r="D93" s="164"/>
      <c r="E93" s="231"/>
      <c r="F93" s="164"/>
      <c r="G93" s="172"/>
      <c r="L93" s="146"/>
    </row>
    <row r="94" spans="1:12" s="107" customFormat="1">
      <c r="A94" s="106"/>
      <c r="B94" s="97" t="str">
        <f>B88</f>
        <v>AV</v>
      </c>
      <c r="C94" s="80"/>
      <c r="D94" s="213">
        <f>SUM(D89:D93)</f>
        <v>0</v>
      </c>
      <c r="E94" s="212">
        <f>SUM(E89:E93)</f>
        <v>0</v>
      </c>
      <c r="F94" s="179">
        <f>SUM(F89:F93)</f>
        <v>0</v>
      </c>
      <c r="G94" s="174"/>
      <c r="H94" s="315">
        <f>SUM(H89:H93)</f>
        <v>0</v>
      </c>
      <c r="I94" s="230">
        <f>F94-H94</f>
        <v>0</v>
      </c>
      <c r="L94" s="146"/>
    </row>
    <row r="95" spans="1:12" s="107" customFormat="1">
      <c r="A95" s="106"/>
      <c r="B95" s="175"/>
      <c r="C95" s="80"/>
      <c r="D95" s="172"/>
      <c r="E95" s="172"/>
      <c r="F95" s="172"/>
      <c r="G95" s="172"/>
      <c r="L95" s="146"/>
    </row>
    <row r="96" spans="1:12" s="107" customFormat="1">
      <c r="A96" s="106"/>
      <c r="B96" s="175"/>
      <c r="C96" s="80"/>
      <c r="D96" s="172"/>
      <c r="E96" s="172"/>
      <c r="F96" s="172"/>
      <c r="G96" s="172"/>
      <c r="L96" s="146"/>
    </row>
    <row r="97" spans="1:12" s="107" customFormat="1">
      <c r="A97" s="106"/>
      <c r="B97" s="73" t="s">
        <v>91</v>
      </c>
      <c r="C97" s="80"/>
      <c r="D97" s="172"/>
      <c r="E97" s="172"/>
      <c r="F97" s="335"/>
      <c r="G97" s="172"/>
      <c r="H97" s="293" t="s">
        <v>83</v>
      </c>
      <c r="I97" s="293" t="s">
        <v>77</v>
      </c>
      <c r="L97" s="146"/>
    </row>
    <row r="98" spans="1:12" s="107" customFormat="1">
      <c r="A98" s="153">
        <v>0</v>
      </c>
      <c r="B98" s="225" t="s">
        <v>84</v>
      </c>
      <c r="C98" s="80"/>
      <c r="D98" s="170">
        <v>0</v>
      </c>
      <c r="E98" s="210">
        <f>F98-D98</f>
        <v>0</v>
      </c>
      <c r="F98" s="211">
        <f t="shared" ref="F98:F104" si="22">ROUNDUP((D98*fee/5),0)*5</f>
        <v>0</v>
      </c>
      <c r="G98" s="172"/>
      <c r="H98" s="294">
        <v>0</v>
      </c>
      <c r="I98" s="301">
        <f>F98-H98</f>
        <v>0</v>
      </c>
      <c r="L98" s="146"/>
    </row>
    <row r="99" spans="1:12" s="107" customFormat="1">
      <c r="A99" s="153">
        <v>0</v>
      </c>
      <c r="B99" s="227" t="s">
        <v>84</v>
      </c>
      <c r="C99" s="80"/>
      <c r="D99" s="173">
        <v>0</v>
      </c>
      <c r="E99" s="211">
        <f t="shared" ref="E99:E104" si="23">F99-D99</f>
        <v>0</v>
      </c>
      <c r="F99" s="211">
        <f t="shared" si="22"/>
        <v>0</v>
      </c>
      <c r="G99" s="172"/>
      <c r="H99" s="249">
        <v>0</v>
      </c>
      <c r="I99" s="302">
        <f>F99-H99</f>
        <v>0</v>
      </c>
      <c r="L99" s="146"/>
    </row>
    <row r="100" spans="1:12" s="107" customFormat="1">
      <c r="A100" s="153">
        <v>0</v>
      </c>
      <c r="B100" s="227" t="s">
        <v>84</v>
      </c>
      <c r="C100" s="80"/>
      <c r="D100" s="173">
        <v>0</v>
      </c>
      <c r="E100" s="211">
        <f t="shared" si="23"/>
        <v>0</v>
      </c>
      <c r="F100" s="211">
        <f t="shared" si="22"/>
        <v>0</v>
      </c>
      <c r="G100" s="172"/>
      <c r="H100" s="249">
        <v>0</v>
      </c>
      <c r="I100" s="302">
        <f t="shared" ref="I100:I101" si="24">F100-H100</f>
        <v>0</v>
      </c>
      <c r="L100" s="146"/>
    </row>
    <row r="101" spans="1:12" s="107" customFormat="1">
      <c r="A101" s="153">
        <v>0</v>
      </c>
      <c r="B101" s="227" t="s">
        <v>84</v>
      </c>
      <c r="C101" s="80"/>
      <c r="D101" s="173">
        <v>0</v>
      </c>
      <c r="E101" s="211">
        <f t="shared" si="23"/>
        <v>0</v>
      </c>
      <c r="F101" s="211">
        <f t="shared" si="22"/>
        <v>0</v>
      </c>
      <c r="G101" s="172"/>
      <c r="H101" s="195">
        <v>0</v>
      </c>
      <c r="I101" s="304">
        <f t="shared" si="24"/>
        <v>0</v>
      </c>
      <c r="L101" s="146"/>
    </row>
    <row r="102" spans="1:12" s="107" customFormat="1">
      <c r="A102" s="153">
        <v>0</v>
      </c>
      <c r="B102" s="227" t="s">
        <v>84</v>
      </c>
      <c r="C102" s="80"/>
      <c r="D102" s="173">
        <v>0</v>
      </c>
      <c r="E102" s="211">
        <f t="shared" si="23"/>
        <v>0</v>
      </c>
      <c r="F102" s="211">
        <f t="shared" si="22"/>
        <v>0</v>
      </c>
      <c r="G102" s="172"/>
      <c r="H102" s="249">
        <v>0</v>
      </c>
      <c r="I102" s="302">
        <f>F102-H102</f>
        <v>0</v>
      </c>
      <c r="L102" s="146"/>
    </row>
    <row r="103" spans="1:12" s="107" customFormat="1">
      <c r="A103" s="153">
        <v>0</v>
      </c>
      <c r="B103" s="227" t="s">
        <v>84</v>
      </c>
      <c r="C103" s="80"/>
      <c r="D103" s="173">
        <v>0</v>
      </c>
      <c r="E103" s="211">
        <f t="shared" si="23"/>
        <v>0</v>
      </c>
      <c r="F103" s="211">
        <f t="shared" si="22"/>
        <v>0</v>
      </c>
      <c r="G103" s="172"/>
      <c r="H103" s="249">
        <v>0</v>
      </c>
      <c r="I103" s="302">
        <f>F103-H103</f>
        <v>0</v>
      </c>
      <c r="L103" s="146"/>
    </row>
    <row r="104" spans="1:12" s="107" customFormat="1">
      <c r="A104" s="106">
        <v>0</v>
      </c>
      <c r="B104" s="74" t="s">
        <v>84</v>
      </c>
      <c r="C104" s="80"/>
      <c r="D104" s="173">
        <v>0</v>
      </c>
      <c r="E104" s="211">
        <f t="shared" si="23"/>
        <v>0</v>
      </c>
      <c r="F104" s="211">
        <f t="shared" si="22"/>
        <v>0</v>
      </c>
      <c r="G104" s="172"/>
      <c r="H104" s="249">
        <v>0</v>
      </c>
      <c r="I104" s="302">
        <f t="shared" ref="I104" si="25">F104-H104</f>
        <v>0</v>
      </c>
      <c r="L104" s="146"/>
    </row>
    <row r="105" spans="1:12" s="107" customFormat="1">
      <c r="A105" s="232"/>
      <c r="B105" s="233"/>
      <c r="C105" s="80"/>
      <c r="D105" s="164"/>
      <c r="E105" s="164"/>
      <c r="F105" s="164"/>
      <c r="G105" s="172"/>
      <c r="L105" s="146"/>
    </row>
    <row r="106" spans="1:12" s="107" customFormat="1">
      <c r="A106" s="106"/>
      <c r="B106" s="97" t="str">
        <f>B97</f>
        <v>Display</v>
      </c>
      <c r="C106" s="80"/>
      <c r="D106" s="212">
        <f>SUM(D98:D105)</f>
        <v>0</v>
      </c>
      <c r="E106" s="212">
        <f>SUM(E98:E105)</f>
        <v>0</v>
      </c>
      <c r="F106" s="179">
        <f>SUM(F98:F105)</f>
        <v>0</v>
      </c>
      <c r="G106" s="174"/>
      <c r="H106" s="315">
        <f>SUM(H98:H105)</f>
        <v>0</v>
      </c>
      <c r="I106" s="230">
        <f>F106-H106</f>
        <v>0</v>
      </c>
      <c r="L106" s="146"/>
    </row>
    <row r="107" spans="1:12" s="107" customFormat="1">
      <c r="A107" s="106"/>
      <c r="B107" s="175"/>
      <c r="C107" s="80"/>
      <c r="D107" s="172"/>
      <c r="E107" s="172"/>
      <c r="F107" s="172"/>
      <c r="G107" s="172"/>
      <c r="L107" s="146"/>
    </row>
    <row r="108" spans="1:12" s="107" customFormat="1">
      <c r="A108" s="106"/>
      <c r="B108" s="175"/>
      <c r="C108" s="80"/>
      <c r="D108" s="172"/>
      <c r="E108" s="172"/>
      <c r="F108" s="172"/>
      <c r="G108" s="172"/>
      <c r="L108" s="146"/>
    </row>
    <row r="109" spans="1:12">
      <c r="B109" s="73" t="s">
        <v>92</v>
      </c>
      <c r="C109" s="80"/>
      <c r="D109" s="172"/>
      <c r="E109" s="172"/>
      <c r="F109" s="335"/>
      <c r="G109" s="172"/>
      <c r="H109" s="293" t="s">
        <v>83</v>
      </c>
      <c r="I109" s="293" t="s">
        <v>77</v>
      </c>
      <c r="J109" s="153"/>
      <c r="K109" s="153"/>
      <c r="L109" s="153"/>
    </row>
    <row r="110" spans="1:12">
      <c r="A110" s="153">
        <v>0</v>
      </c>
      <c r="B110" s="87" t="s">
        <v>84</v>
      </c>
      <c r="D110" s="181">
        <v>0</v>
      </c>
      <c r="E110" s="210">
        <f>F110-D110</f>
        <v>0</v>
      </c>
      <c r="F110" s="211">
        <f t="shared" ref="F110:F119" si="26">ROUNDUP((D110*fee/5),0)*5</f>
        <v>0</v>
      </c>
      <c r="G110" s="172"/>
      <c r="H110" s="294">
        <v>0</v>
      </c>
      <c r="I110" s="301">
        <f>F110-H110</f>
        <v>0</v>
      </c>
      <c r="J110" s="153"/>
      <c r="K110" s="153"/>
      <c r="L110" s="153"/>
    </row>
    <row r="111" spans="1:12">
      <c r="A111" s="153">
        <v>0</v>
      </c>
      <c r="B111" s="74" t="s">
        <v>84</v>
      </c>
      <c r="D111" s="180">
        <v>0</v>
      </c>
      <c r="E111" s="211">
        <f>F111-D111</f>
        <v>0</v>
      </c>
      <c r="F111" s="211">
        <f t="shared" si="26"/>
        <v>0</v>
      </c>
      <c r="G111" s="172"/>
      <c r="H111" s="249">
        <v>0</v>
      </c>
      <c r="I111" s="302">
        <f>F111-H111</f>
        <v>0</v>
      </c>
      <c r="J111" s="153"/>
      <c r="K111" s="153"/>
      <c r="L111" s="153"/>
    </row>
    <row r="112" spans="1:12">
      <c r="A112" s="153">
        <v>0</v>
      </c>
      <c r="B112" s="74" t="s">
        <v>84</v>
      </c>
      <c r="D112" s="180">
        <v>0</v>
      </c>
      <c r="E112" s="211">
        <f t="shared" ref="E112:E119" si="27">F112-D112</f>
        <v>0</v>
      </c>
      <c r="F112" s="211">
        <f t="shared" si="26"/>
        <v>0</v>
      </c>
      <c r="G112" s="172"/>
      <c r="H112" s="249">
        <v>0</v>
      </c>
      <c r="I112" s="302">
        <f t="shared" ref="I112:I113" si="28">F112-H112</f>
        <v>0</v>
      </c>
      <c r="J112" s="153"/>
      <c r="K112" s="153"/>
      <c r="L112" s="153"/>
    </row>
    <row r="113" spans="1:12">
      <c r="A113" s="153">
        <v>0</v>
      </c>
      <c r="B113" s="74" t="s">
        <v>84</v>
      </c>
      <c r="D113" s="180">
        <v>0</v>
      </c>
      <c r="E113" s="211">
        <f t="shared" si="27"/>
        <v>0</v>
      </c>
      <c r="F113" s="211">
        <f t="shared" si="26"/>
        <v>0</v>
      </c>
      <c r="G113" s="172"/>
      <c r="H113" s="195">
        <v>0</v>
      </c>
      <c r="I113" s="304">
        <f t="shared" si="28"/>
        <v>0</v>
      </c>
      <c r="J113" s="153"/>
      <c r="K113" s="153"/>
      <c r="L113" s="153"/>
    </row>
    <row r="114" spans="1:12">
      <c r="A114" s="153">
        <v>0</v>
      </c>
      <c r="B114" s="74" t="s">
        <v>84</v>
      </c>
      <c r="D114" s="180">
        <v>0</v>
      </c>
      <c r="E114" s="211">
        <f t="shared" si="27"/>
        <v>0</v>
      </c>
      <c r="F114" s="211">
        <f t="shared" si="26"/>
        <v>0</v>
      </c>
      <c r="G114" s="172"/>
      <c r="H114" s="195">
        <v>0</v>
      </c>
      <c r="I114" s="304">
        <f>F114-H114</f>
        <v>0</v>
      </c>
      <c r="J114" s="153"/>
      <c r="K114" s="153"/>
      <c r="L114" s="153"/>
    </row>
    <row r="115" spans="1:12">
      <c r="A115" s="153">
        <v>0</v>
      </c>
      <c r="B115" s="74" t="s">
        <v>84</v>
      </c>
      <c r="D115" s="180">
        <v>0</v>
      </c>
      <c r="E115" s="211">
        <f t="shared" si="27"/>
        <v>0</v>
      </c>
      <c r="F115" s="211">
        <f t="shared" si="26"/>
        <v>0</v>
      </c>
      <c r="G115" s="172"/>
      <c r="H115" s="195">
        <v>0</v>
      </c>
      <c r="I115" s="304">
        <f>F115-H115</f>
        <v>0</v>
      </c>
      <c r="J115" s="153"/>
      <c r="K115" s="153"/>
      <c r="L115" s="153"/>
    </row>
    <row r="116" spans="1:12">
      <c r="A116" s="153">
        <v>0</v>
      </c>
      <c r="B116" s="74" t="s">
        <v>84</v>
      </c>
      <c r="D116" s="180">
        <v>0</v>
      </c>
      <c r="E116" s="211">
        <f t="shared" si="27"/>
        <v>0</v>
      </c>
      <c r="F116" s="211">
        <f t="shared" si="26"/>
        <v>0</v>
      </c>
      <c r="G116" s="172"/>
      <c r="H116" s="195">
        <v>0</v>
      </c>
      <c r="I116" s="304">
        <f t="shared" ref="I116" si="29">F116-H116</f>
        <v>0</v>
      </c>
      <c r="J116" s="153"/>
      <c r="K116" s="153"/>
      <c r="L116" s="153"/>
    </row>
    <row r="117" spans="1:12">
      <c r="A117" s="153">
        <v>0</v>
      </c>
      <c r="B117" s="74" t="s">
        <v>84</v>
      </c>
      <c r="D117" s="180">
        <v>0</v>
      </c>
      <c r="E117" s="211">
        <f t="shared" si="27"/>
        <v>0</v>
      </c>
      <c r="F117" s="211">
        <f t="shared" si="26"/>
        <v>0</v>
      </c>
      <c r="G117" s="172"/>
      <c r="H117" s="195">
        <v>0</v>
      </c>
      <c r="I117" s="304">
        <f>F117-H117</f>
        <v>0</v>
      </c>
      <c r="J117" s="153"/>
      <c r="K117" s="153"/>
      <c r="L117" s="153"/>
    </row>
    <row r="118" spans="1:12">
      <c r="A118" s="153">
        <v>0</v>
      </c>
      <c r="B118" s="74" t="s">
        <v>84</v>
      </c>
      <c r="D118" s="180">
        <v>0</v>
      </c>
      <c r="E118" s="211">
        <f t="shared" si="27"/>
        <v>0</v>
      </c>
      <c r="F118" s="211">
        <f t="shared" si="26"/>
        <v>0</v>
      </c>
      <c r="G118" s="172"/>
      <c r="H118" s="195">
        <v>0</v>
      </c>
      <c r="I118" s="300">
        <f>F118-H118</f>
        <v>0</v>
      </c>
      <c r="J118" s="153"/>
      <c r="K118" s="153"/>
      <c r="L118" s="153"/>
    </row>
    <row r="119" spans="1:12">
      <c r="A119" s="153">
        <v>0</v>
      </c>
      <c r="B119" s="74" t="s">
        <v>84</v>
      </c>
      <c r="D119" s="180">
        <v>0</v>
      </c>
      <c r="E119" s="211">
        <f t="shared" si="27"/>
        <v>0</v>
      </c>
      <c r="F119" s="211">
        <f t="shared" si="26"/>
        <v>0</v>
      </c>
      <c r="G119" s="172"/>
      <c r="H119" s="249">
        <v>0</v>
      </c>
      <c r="I119" s="302">
        <f t="shared" ref="I119:I121" si="30">F119-H119</f>
        <v>0</v>
      </c>
      <c r="J119" s="153"/>
      <c r="K119" s="153"/>
      <c r="L119" s="153"/>
    </row>
    <row r="120" spans="1:12">
      <c r="A120" s="106" t="s">
        <v>11</v>
      </c>
      <c r="B120" s="89" t="s">
        <v>11</v>
      </c>
      <c r="D120" s="234" t="s">
        <v>11</v>
      </c>
      <c r="E120" s="235" t="s">
        <v>11</v>
      </c>
      <c r="F120" s="235" t="s">
        <v>11</v>
      </c>
      <c r="G120" s="236"/>
    </row>
    <row r="121" spans="1:12">
      <c r="A121" s="106">
        <v>0</v>
      </c>
      <c r="B121" s="117" t="s">
        <v>85</v>
      </c>
      <c r="D121" s="228">
        <v>0</v>
      </c>
      <c r="E121" s="211">
        <f>F121-D121</f>
        <v>0</v>
      </c>
      <c r="F121" s="195">
        <v>0</v>
      </c>
      <c r="G121" s="172"/>
      <c r="H121" s="249">
        <v>0</v>
      </c>
      <c r="I121" s="302">
        <f t="shared" si="30"/>
        <v>0</v>
      </c>
      <c r="J121" s="153"/>
      <c r="K121" s="153"/>
      <c r="L121" s="153"/>
    </row>
    <row r="122" spans="1:12">
      <c r="A122" s="106" t="s">
        <v>11</v>
      </c>
      <c r="B122" s="89" t="s">
        <v>11</v>
      </c>
      <c r="D122" s="234" t="s">
        <v>11</v>
      </c>
      <c r="E122" s="235" t="s">
        <v>11</v>
      </c>
      <c r="F122" s="235" t="s">
        <v>11</v>
      </c>
      <c r="G122" s="236"/>
    </row>
    <row r="123" spans="1:12">
      <c r="B123" s="97" t="s">
        <v>92</v>
      </c>
      <c r="C123" s="80"/>
      <c r="D123" s="213">
        <f>SUM(D110:D122)</f>
        <v>0</v>
      </c>
      <c r="E123" s="213">
        <f>SUM(E110:E122)</f>
        <v>0</v>
      </c>
      <c r="F123" s="182">
        <f>SUM(F110:F122)</f>
        <v>0</v>
      </c>
      <c r="G123" s="174"/>
      <c r="H123" s="315">
        <f>SUM(H110:H122)</f>
        <v>0</v>
      </c>
      <c r="I123" s="230">
        <f>F123-H123</f>
        <v>0</v>
      </c>
    </row>
    <row r="124" spans="1:12">
      <c r="A124" s="153" t="s">
        <v>11</v>
      </c>
      <c r="B124" s="74" t="s">
        <v>11</v>
      </c>
      <c r="D124" s="183" t="s">
        <v>11</v>
      </c>
      <c r="E124" s="162" t="s">
        <v>11</v>
      </c>
      <c r="F124" s="162" t="s">
        <v>11</v>
      </c>
      <c r="G124" s="172" t="s">
        <v>11</v>
      </c>
      <c r="I124" s="153"/>
      <c r="J124" s="153"/>
      <c r="K124" s="153"/>
      <c r="L124" s="153"/>
    </row>
    <row r="125" spans="1:12">
      <c r="A125" s="153"/>
      <c r="B125" s="73" t="s">
        <v>93</v>
      </c>
      <c r="D125" s="183"/>
      <c r="E125" s="162"/>
      <c r="F125" s="162"/>
      <c r="G125" s="172"/>
      <c r="H125" s="293" t="s">
        <v>83</v>
      </c>
      <c r="I125" s="293" t="s">
        <v>77</v>
      </c>
      <c r="J125" s="153"/>
      <c r="K125" s="153"/>
      <c r="L125" s="153"/>
    </row>
    <row r="126" spans="1:12">
      <c r="A126" s="153">
        <v>1</v>
      </c>
      <c r="B126" s="74" t="s">
        <v>94</v>
      </c>
      <c r="D126" s="180">
        <v>0</v>
      </c>
      <c r="E126" s="211">
        <f t="shared" ref="E126:E128" si="31">F126-D126</f>
        <v>0</v>
      </c>
      <c r="F126" s="211">
        <f t="shared" ref="F126:F128" si="32">ROUNDUP((D126*fee/5),0)*5</f>
        <v>0</v>
      </c>
      <c r="G126" s="172"/>
      <c r="H126" s="294">
        <v>0</v>
      </c>
      <c r="I126" s="301">
        <f>F126-H126</f>
        <v>0</v>
      </c>
      <c r="J126" s="153"/>
      <c r="K126" s="153"/>
      <c r="L126" s="153"/>
    </row>
    <row r="127" spans="1:12">
      <c r="A127" s="153">
        <v>1</v>
      </c>
      <c r="B127" s="74" t="s">
        <v>95</v>
      </c>
      <c r="D127" s="180">
        <v>0</v>
      </c>
      <c r="E127" s="211">
        <f t="shared" si="31"/>
        <v>0</v>
      </c>
      <c r="F127" s="211">
        <f t="shared" si="32"/>
        <v>0</v>
      </c>
      <c r="G127" s="172"/>
      <c r="H127" s="249">
        <v>0</v>
      </c>
      <c r="I127" s="302">
        <f>F127-H127</f>
        <v>0</v>
      </c>
      <c r="J127" s="153"/>
      <c r="K127" s="153"/>
      <c r="L127" s="153"/>
    </row>
    <row r="128" spans="1:12">
      <c r="A128" s="153">
        <v>0</v>
      </c>
      <c r="B128" s="74" t="s">
        <v>84</v>
      </c>
      <c r="D128" s="180">
        <v>0</v>
      </c>
      <c r="E128" s="211">
        <f t="shared" si="31"/>
        <v>0</v>
      </c>
      <c r="F128" s="211">
        <f t="shared" si="32"/>
        <v>0</v>
      </c>
      <c r="G128" s="172"/>
      <c r="H128" s="249">
        <v>0</v>
      </c>
      <c r="I128" s="302">
        <f t="shared" ref="I128" si="33">F128-H128</f>
        <v>0</v>
      </c>
      <c r="J128" s="153"/>
      <c r="K128" s="153"/>
      <c r="L128" s="153"/>
    </row>
    <row r="129" spans="1:12">
      <c r="A129" s="153"/>
      <c r="B129" s="74"/>
      <c r="D129" s="183"/>
      <c r="E129" s="162"/>
      <c r="F129" s="162"/>
      <c r="G129" s="172"/>
      <c r="I129" s="153"/>
      <c r="J129" s="153"/>
      <c r="K129" s="153"/>
      <c r="L129" s="153"/>
    </row>
    <row r="130" spans="1:12">
      <c r="A130" s="106">
        <v>0</v>
      </c>
      <c r="B130" s="117" t="s">
        <v>85</v>
      </c>
      <c r="D130" s="228">
        <v>0</v>
      </c>
      <c r="E130" s="211">
        <f>F130-D130</f>
        <v>0</v>
      </c>
      <c r="F130" s="195">
        <v>0</v>
      </c>
      <c r="G130" s="172"/>
      <c r="H130" s="249">
        <v>0</v>
      </c>
      <c r="I130" s="302">
        <f t="shared" ref="I130" si="34">F130-H130</f>
        <v>0</v>
      </c>
      <c r="J130" s="153"/>
      <c r="K130" s="153"/>
      <c r="L130" s="153"/>
    </row>
    <row r="131" spans="1:12">
      <c r="A131" s="106" t="s">
        <v>11</v>
      </c>
      <c r="B131" s="89" t="s">
        <v>11</v>
      </c>
      <c r="D131" s="234" t="s">
        <v>11</v>
      </c>
      <c r="E131" s="235" t="s">
        <v>11</v>
      </c>
      <c r="F131" s="235" t="s">
        <v>11</v>
      </c>
      <c r="G131" s="236"/>
    </row>
    <row r="132" spans="1:12">
      <c r="B132" s="97" t="s">
        <v>93</v>
      </c>
      <c r="C132" s="80"/>
      <c r="D132" s="213">
        <f>SUM(D126:D131)</f>
        <v>0</v>
      </c>
      <c r="E132" s="213">
        <f>SUM(E126:E131)</f>
        <v>0</v>
      </c>
      <c r="F132" s="182">
        <f>SUM(F126:F131)</f>
        <v>0</v>
      </c>
      <c r="G132" s="174"/>
      <c r="H132" s="315">
        <f>SUM(H126:H131)</f>
        <v>0</v>
      </c>
      <c r="I132" s="230">
        <f>F132-H132</f>
        <v>0</v>
      </c>
    </row>
    <row r="133" spans="1:12">
      <c r="C133" s="80"/>
      <c r="D133" s="172"/>
      <c r="E133" s="172"/>
      <c r="F133" s="172"/>
      <c r="G133" s="172"/>
    </row>
    <row r="134" spans="1:12">
      <c r="C134" s="80"/>
      <c r="D134" s="172"/>
      <c r="E134" s="172"/>
      <c r="F134" s="172"/>
      <c r="G134" s="172"/>
    </row>
    <row r="135" spans="1:12">
      <c r="B135" s="73" t="s">
        <v>96</v>
      </c>
      <c r="C135" s="80"/>
      <c r="D135" s="172"/>
      <c r="E135" s="172"/>
      <c r="F135" s="335"/>
      <c r="G135" s="172"/>
      <c r="H135" s="293" t="s">
        <v>83</v>
      </c>
      <c r="I135" s="293" t="s">
        <v>77</v>
      </c>
      <c r="J135" s="153"/>
      <c r="K135" s="153"/>
      <c r="L135" s="153"/>
    </row>
    <row r="136" spans="1:12">
      <c r="A136" s="153">
        <v>0</v>
      </c>
      <c r="B136" s="87" t="s">
        <v>84</v>
      </c>
      <c r="D136" s="181">
        <v>0</v>
      </c>
      <c r="E136" s="210">
        <f>F136-D136</f>
        <v>0</v>
      </c>
      <c r="F136" s="211">
        <f t="shared" ref="F136:F145" si="35">ROUNDUP((D136*fee/5),0)*5</f>
        <v>0</v>
      </c>
      <c r="G136" s="172"/>
      <c r="H136" s="294">
        <v>0</v>
      </c>
      <c r="I136" s="301">
        <f>F136-H136</f>
        <v>0</v>
      </c>
      <c r="J136" s="153"/>
      <c r="K136" s="153"/>
      <c r="L136" s="153"/>
    </row>
    <row r="137" spans="1:12">
      <c r="A137" s="153">
        <v>0</v>
      </c>
      <c r="B137" s="74" t="s">
        <v>84</v>
      </c>
      <c r="D137" s="180">
        <v>0</v>
      </c>
      <c r="E137" s="211">
        <f>F137-D137</f>
        <v>0</v>
      </c>
      <c r="F137" s="211">
        <f t="shared" si="35"/>
        <v>0</v>
      </c>
      <c r="G137" s="172"/>
      <c r="H137" s="249">
        <v>0</v>
      </c>
      <c r="I137" s="302">
        <f>F137-H137</f>
        <v>0</v>
      </c>
      <c r="J137" s="153"/>
      <c r="K137" s="153"/>
      <c r="L137" s="153"/>
    </row>
    <row r="138" spans="1:12">
      <c r="A138" s="153">
        <v>0</v>
      </c>
      <c r="B138" s="74" t="s">
        <v>84</v>
      </c>
      <c r="D138" s="180">
        <v>0</v>
      </c>
      <c r="E138" s="211">
        <f t="shared" ref="E138:E144" si="36">F138-D138</f>
        <v>0</v>
      </c>
      <c r="F138" s="211">
        <f t="shared" si="35"/>
        <v>0</v>
      </c>
      <c r="G138" s="172"/>
      <c r="H138" s="249">
        <v>0</v>
      </c>
      <c r="I138" s="302">
        <f t="shared" ref="I138:I139" si="37">F138-H138</f>
        <v>0</v>
      </c>
      <c r="J138" s="153"/>
      <c r="K138" s="153"/>
      <c r="L138" s="153"/>
    </row>
    <row r="139" spans="1:12">
      <c r="A139" s="153">
        <v>0</v>
      </c>
      <c r="B139" s="74" t="s">
        <v>84</v>
      </c>
      <c r="D139" s="180">
        <v>0</v>
      </c>
      <c r="E139" s="211">
        <f t="shared" si="36"/>
        <v>0</v>
      </c>
      <c r="F139" s="211">
        <f t="shared" si="35"/>
        <v>0</v>
      </c>
      <c r="G139" s="172"/>
      <c r="H139" s="195">
        <v>0</v>
      </c>
      <c r="I139" s="304">
        <f t="shared" si="37"/>
        <v>0</v>
      </c>
      <c r="J139" s="153"/>
      <c r="K139" s="153"/>
      <c r="L139" s="153"/>
    </row>
    <row r="140" spans="1:12">
      <c r="A140" s="153">
        <v>0</v>
      </c>
      <c r="B140" s="74" t="s">
        <v>84</v>
      </c>
      <c r="D140" s="180">
        <v>0</v>
      </c>
      <c r="E140" s="211">
        <f t="shared" si="36"/>
        <v>0</v>
      </c>
      <c r="F140" s="211">
        <f t="shared" si="35"/>
        <v>0</v>
      </c>
      <c r="G140" s="172"/>
      <c r="H140" s="195">
        <v>0</v>
      </c>
      <c r="I140" s="304">
        <f>F140-H140</f>
        <v>0</v>
      </c>
      <c r="J140" s="153"/>
      <c r="K140" s="153"/>
      <c r="L140" s="153"/>
    </row>
    <row r="141" spans="1:12">
      <c r="A141" s="153">
        <v>0</v>
      </c>
      <c r="B141" s="74" t="s">
        <v>84</v>
      </c>
      <c r="D141" s="180">
        <v>0</v>
      </c>
      <c r="E141" s="211">
        <f t="shared" si="36"/>
        <v>0</v>
      </c>
      <c r="F141" s="211">
        <f t="shared" si="35"/>
        <v>0</v>
      </c>
      <c r="G141" s="172"/>
      <c r="H141" s="249">
        <v>0</v>
      </c>
      <c r="I141" s="302">
        <f t="shared" ref="I141:I142" si="38">F141-H141</f>
        <v>0</v>
      </c>
      <c r="J141" s="153"/>
      <c r="K141" s="153"/>
      <c r="L141" s="153"/>
    </row>
    <row r="142" spans="1:12">
      <c r="A142" s="153">
        <v>0</v>
      </c>
      <c r="B142" s="74" t="s">
        <v>84</v>
      </c>
      <c r="D142" s="180">
        <v>0</v>
      </c>
      <c r="E142" s="211">
        <f t="shared" si="36"/>
        <v>0</v>
      </c>
      <c r="F142" s="211">
        <f t="shared" si="35"/>
        <v>0</v>
      </c>
      <c r="G142" s="172"/>
      <c r="H142" s="195">
        <v>0</v>
      </c>
      <c r="I142" s="304">
        <f t="shared" si="38"/>
        <v>0</v>
      </c>
      <c r="J142" s="153"/>
      <c r="K142" s="153"/>
      <c r="L142" s="153"/>
    </row>
    <row r="143" spans="1:12">
      <c r="A143" s="153">
        <v>0</v>
      </c>
      <c r="B143" s="74" t="s">
        <v>84</v>
      </c>
      <c r="D143" s="180">
        <v>0</v>
      </c>
      <c r="E143" s="211">
        <f t="shared" si="36"/>
        <v>0</v>
      </c>
      <c r="F143" s="211">
        <f t="shared" si="35"/>
        <v>0</v>
      </c>
      <c r="G143" s="172"/>
      <c r="H143" s="195">
        <v>0</v>
      </c>
      <c r="I143" s="304">
        <f>F143-H143</f>
        <v>0</v>
      </c>
      <c r="J143" s="153"/>
      <c r="K143" s="153"/>
      <c r="L143" s="153"/>
    </row>
    <row r="144" spans="1:12">
      <c r="A144" s="153">
        <v>0</v>
      </c>
      <c r="B144" s="74" t="s">
        <v>84</v>
      </c>
      <c r="D144" s="180">
        <v>0</v>
      </c>
      <c r="E144" s="211">
        <f t="shared" si="36"/>
        <v>0</v>
      </c>
      <c r="F144" s="211">
        <f t="shared" si="35"/>
        <v>0</v>
      </c>
      <c r="G144" s="172"/>
      <c r="H144" s="195">
        <v>0</v>
      </c>
      <c r="I144" s="304">
        <f>F144-H144</f>
        <v>0</v>
      </c>
      <c r="J144" s="153"/>
      <c r="K144" s="153"/>
      <c r="L144" s="153"/>
    </row>
    <row r="145" spans="1:12">
      <c r="A145" s="106">
        <v>0</v>
      </c>
      <c r="B145" s="74" t="s">
        <v>84</v>
      </c>
      <c r="D145" s="180">
        <v>0</v>
      </c>
      <c r="E145" s="211">
        <f>F145-D145</f>
        <v>0</v>
      </c>
      <c r="F145" s="211">
        <f t="shared" si="35"/>
        <v>0</v>
      </c>
      <c r="G145" s="172"/>
      <c r="H145" s="249">
        <v>0</v>
      </c>
      <c r="I145" s="302">
        <f t="shared" ref="I145" si="39">F145-H145</f>
        <v>0</v>
      </c>
      <c r="J145" s="153"/>
      <c r="K145" s="153"/>
      <c r="L145" s="153"/>
    </row>
    <row r="146" spans="1:12">
      <c r="A146" s="106" t="s">
        <v>11</v>
      </c>
      <c r="B146" s="89" t="s">
        <v>11</v>
      </c>
      <c r="D146" s="234" t="s">
        <v>11</v>
      </c>
      <c r="E146" s="235" t="s">
        <v>11</v>
      </c>
      <c r="F146" s="235" t="s">
        <v>11</v>
      </c>
      <c r="G146" s="236"/>
    </row>
    <row r="147" spans="1:12" s="107" customFormat="1">
      <c r="A147" s="106"/>
      <c r="B147" s="97" t="str">
        <f>B135</f>
        <v>Electrical</v>
      </c>
      <c r="C147" s="80"/>
      <c r="D147" s="213">
        <f>SUM(D136:D146)</f>
        <v>0</v>
      </c>
      <c r="E147" s="213">
        <f>SUM(E136:E146)</f>
        <v>0</v>
      </c>
      <c r="F147" s="182">
        <f>SUM(F136:F146)</f>
        <v>0</v>
      </c>
      <c r="G147" s="174"/>
      <c r="H147" s="315">
        <f>SUM(H136:H146)</f>
        <v>0</v>
      </c>
      <c r="I147" s="230">
        <f>F147-H147</f>
        <v>0</v>
      </c>
      <c r="L147" s="146"/>
    </row>
    <row r="148" spans="1:12">
      <c r="C148" s="80"/>
      <c r="D148" s="172"/>
      <c r="E148" s="172"/>
      <c r="F148" s="172"/>
      <c r="G148" s="172"/>
    </row>
    <row r="149" spans="1:12">
      <c r="C149" s="80"/>
      <c r="D149" s="172"/>
      <c r="E149" s="172"/>
      <c r="F149" s="172"/>
      <c r="G149" s="172"/>
    </row>
    <row r="150" spans="1:12">
      <c r="A150" s="153"/>
      <c r="B150" s="73" t="s">
        <v>17</v>
      </c>
      <c r="D150" s="172"/>
      <c r="E150" s="172"/>
      <c r="F150" s="335"/>
      <c r="G150" s="172"/>
      <c r="H150" s="293" t="s">
        <v>83</v>
      </c>
      <c r="I150" s="293" t="s">
        <v>77</v>
      </c>
      <c r="J150" s="153"/>
      <c r="K150" s="153"/>
      <c r="L150" s="153"/>
    </row>
    <row r="151" spans="1:12">
      <c r="A151" s="153">
        <v>0</v>
      </c>
      <c r="B151" s="74" t="s">
        <v>84</v>
      </c>
      <c r="D151" s="181">
        <v>0</v>
      </c>
      <c r="E151" s="210">
        <f t="shared" ref="E151:E153" si="40">F151-D151</f>
        <v>0</v>
      </c>
      <c r="F151" s="211">
        <f t="shared" ref="F151:F153" si="41">ROUNDUP((D151*fee/5),0)*5</f>
        <v>0</v>
      </c>
      <c r="G151" s="172"/>
      <c r="H151" s="294">
        <v>0</v>
      </c>
      <c r="I151" s="301">
        <f>F151-H151</f>
        <v>0</v>
      </c>
      <c r="J151" s="153"/>
      <c r="K151" s="153"/>
      <c r="L151" s="153"/>
    </row>
    <row r="152" spans="1:12">
      <c r="A152" s="153">
        <v>0</v>
      </c>
      <c r="B152" s="74" t="s">
        <v>84</v>
      </c>
      <c r="D152" s="180">
        <v>0</v>
      </c>
      <c r="E152" s="211">
        <f t="shared" si="40"/>
        <v>0</v>
      </c>
      <c r="F152" s="211">
        <f t="shared" si="41"/>
        <v>0</v>
      </c>
      <c r="G152" s="172"/>
      <c r="H152" s="249">
        <v>0</v>
      </c>
      <c r="I152" s="302">
        <f>F152-H152</f>
        <v>0</v>
      </c>
      <c r="J152" s="153"/>
      <c r="K152" s="153"/>
      <c r="L152" s="153"/>
    </row>
    <row r="153" spans="1:12">
      <c r="A153" s="153">
        <v>0</v>
      </c>
      <c r="B153" s="74" t="s">
        <v>84</v>
      </c>
      <c r="D153" s="180">
        <v>0</v>
      </c>
      <c r="E153" s="211">
        <f t="shared" si="40"/>
        <v>0</v>
      </c>
      <c r="F153" s="211">
        <f t="shared" si="41"/>
        <v>0</v>
      </c>
      <c r="G153" s="172"/>
      <c r="H153" s="249">
        <v>0</v>
      </c>
      <c r="I153" s="302">
        <f t="shared" ref="I153" si="42">F153-H153</f>
        <v>0</v>
      </c>
      <c r="J153" s="153"/>
      <c r="K153" s="153"/>
      <c r="L153" s="153"/>
    </row>
    <row r="154" spans="1:12">
      <c r="A154" s="153"/>
      <c r="B154" s="74"/>
      <c r="D154" s="183"/>
      <c r="E154" s="162"/>
      <c r="F154" s="162"/>
      <c r="G154" s="172"/>
      <c r="I154" s="153"/>
      <c r="J154" s="153"/>
      <c r="K154" s="153"/>
      <c r="L154" s="153"/>
    </row>
    <row r="155" spans="1:12">
      <c r="A155" s="106">
        <v>0</v>
      </c>
      <c r="B155" s="117" t="s">
        <v>85</v>
      </c>
      <c r="D155" s="228">
        <v>0</v>
      </c>
      <c r="E155" s="211">
        <f>F155-D155</f>
        <v>0</v>
      </c>
      <c r="F155" s="195">
        <v>0</v>
      </c>
      <c r="G155" s="172"/>
      <c r="H155" s="249">
        <v>0</v>
      </c>
      <c r="I155" s="302">
        <f t="shared" ref="I155" si="43">F155-H155</f>
        <v>0</v>
      </c>
      <c r="J155" s="153"/>
      <c r="K155" s="153"/>
      <c r="L155" s="153"/>
    </row>
    <row r="156" spans="1:12">
      <c r="A156" s="106" t="s">
        <v>11</v>
      </c>
      <c r="B156" s="89" t="s">
        <v>11</v>
      </c>
      <c r="D156" s="234" t="s">
        <v>11</v>
      </c>
      <c r="E156" s="235" t="s">
        <v>11</v>
      </c>
      <c r="F156" s="235" t="s">
        <v>11</v>
      </c>
      <c r="G156" s="236"/>
    </row>
    <row r="157" spans="1:12">
      <c r="B157" s="97" t="s">
        <v>93</v>
      </c>
      <c r="C157" s="80"/>
      <c r="D157" s="213">
        <f>SUM(D151:D156)</f>
        <v>0</v>
      </c>
      <c r="E157" s="213">
        <f>SUM(E151:E156)</f>
        <v>0</v>
      </c>
      <c r="F157" s="182">
        <f>SUM(F151:F156)</f>
        <v>0</v>
      </c>
      <c r="G157" s="174"/>
      <c r="H157" s="315">
        <f>SUM(H151:H156)</f>
        <v>0</v>
      </c>
      <c r="I157" s="230">
        <f>F157-H157</f>
        <v>0</v>
      </c>
    </row>
    <row r="158" spans="1:12" s="107" customFormat="1">
      <c r="A158" s="106"/>
      <c r="B158" s="146"/>
      <c r="C158" s="80"/>
      <c r="D158" s="172"/>
      <c r="E158" s="172"/>
      <c r="F158" s="172"/>
      <c r="G158" s="172"/>
      <c r="L158" s="146"/>
    </row>
    <row r="159" spans="1:12" s="107" customFormat="1">
      <c r="A159" s="106"/>
      <c r="B159" s="146"/>
      <c r="C159" s="80"/>
      <c r="D159" s="172"/>
      <c r="E159" s="172"/>
      <c r="F159" s="172"/>
      <c r="G159" s="172"/>
      <c r="H159" s="73" t="s">
        <v>83</v>
      </c>
      <c r="I159" s="73" t="s">
        <v>77</v>
      </c>
      <c r="J159" s="237" t="s">
        <v>57</v>
      </c>
      <c r="L159" s="146"/>
    </row>
    <row r="160" spans="1:12" s="107" customFormat="1" ht="14.1" thickBot="1">
      <c r="A160" s="106"/>
      <c r="B160" s="78" t="s">
        <v>97</v>
      </c>
      <c r="C160" s="80"/>
      <c r="D160" s="79">
        <f>D25+D41+D49+D68+D85+D94+D106+D132+D147+D123+D157</f>
        <v>0</v>
      </c>
      <c r="E160" s="79">
        <f>E25+E41+E49+E68+E85+E94+E106+E132+E147+E123+E157</f>
        <v>0</v>
      </c>
      <c r="F160" s="193">
        <f>F25+F41+F49+F68+F85+F94+F106+F132+F147+F123+F157</f>
        <v>0</v>
      </c>
      <c r="G160" s="172"/>
      <c r="H160" s="269">
        <f>H25+H41+H49+H68+H85+H94+H106+H132+H147+H157+H123</f>
        <v>0</v>
      </c>
      <c r="I160" s="239">
        <f>F160-H160</f>
        <v>0</v>
      </c>
      <c r="J160" s="240" t="e">
        <f ca="1">SOM(I14:I147)-I160</f>
        <v>#NAME?</v>
      </c>
      <c r="L160" s="146"/>
    </row>
    <row r="161" spans="1:12" s="107" customFormat="1" ht="14.1" thickTop="1">
      <c r="A161" s="106"/>
      <c r="B161" s="146"/>
      <c r="C161" s="80"/>
      <c r="D161" s="172"/>
      <c r="E161" s="172"/>
      <c r="F161" s="172"/>
      <c r="G161" s="172"/>
      <c r="L161" s="146"/>
    </row>
    <row r="162" spans="1:12" s="107" customFormat="1">
      <c r="A162" s="106"/>
      <c r="B162" s="146"/>
      <c r="C162" s="80"/>
      <c r="D162" s="172"/>
      <c r="E162" s="172"/>
      <c r="F162" s="172"/>
      <c r="G162" s="172"/>
      <c r="L162" s="146"/>
    </row>
    <row r="163" spans="1:12" s="107" customFormat="1">
      <c r="A163" s="106"/>
      <c r="B163" s="81" t="s">
        <v>98</v>
      </c>
      <c r="C163" s="80"/>
      <c r="D163" s="172"/>
      <c r="E163" s="172"/>
      <c r="F163" s="172"/>
      <c r="G163" s="172"/>
      <c r="L163" s="146"/>
    </row>
    <row r="164" spans="1:12" s="107" customFormat="1">
      <c r="A164" s="106" t="s">
        <v>11</v>
      </c>
      <c r="B164" s="87"/>
      <c r="D164" s="241" t="s">
        <v>11</v>
      </c>
      <c r="E164" s="160" t="s">
        <v>11</v>
      </c>
      <c r="F164" s="242" t="s">
        <v>11</v>
      </c>
      <c r="G164" s="172"/>
      <c r="L164" s="146"/>
    </row>
    <row r="165" spans="1:12" s="107" customFormat="1">
      <c r="A165" s="106" t="s">
        <v>11</v>
      </c>
      <c r="B165" s="88" t="s">
        <v>99</v>
      </c>
      <c r="D165" s="183" t="s">
        <v>11</v>
      </c>
      <c r="E165" s="162" t="s">
        <v>11</v>
      </c>
      <c r="F165" s="165" t="s">
        <v>11</v>
      </c>
      <c r="G165" s="172"/>
      <c r="H165" s="293" t="s">
        <v>83</v>
      </c>
      <c r="I165" s="293" t="s">
        <v>77</v>
      </c>
      <c r="L165" s="146"/>
    </row>
    <row r="166" spans="1:12" s="107" customFormat="1">
      <c r="A166" s="106">
        <v>0</v>
      </c>
      <c r="B166" s="74" t="s">
        <v>84</v>
      </c>
      <c r="D166" s="180">
        <v>0</v>
      </c>
      <c r="E166" s="211">
        <f>F166-D166</f>
        <v>0</v>
      </c>
      <c r="F166" s="211">
        <f t="shared" ref="F166:F170" si="44">ROUNDUP((D166*fee/5),0)*5</f>
        <v>0</v>
      </c>
      <c r="G166" s="172"/>
      <c r="H166" s="294">
        <v>0</v>
      </c>
      <c r="I166" s="301">
        <f>F166-H166</f>
        <v>0</v>
      </c>
      <c r="L166" s="146"/>
    </row>
    <row r="167" spans="1:12" s="107" customFormat="1">
      <c r="A167" s="106">
        <v>0</v>
      </c>
      <c r="B167" s="74" t="s">
        <v>84</v>
      </c>
      <c r="D167" s="180">
        <v>0</v>
      </c>
      <c r="E167" s="211">
        <f>F167-D167</f>
        <v>0</v>
      </c>
      <c r="F167" s="211">
        <f t="shared" si="44"/>
        <v>0</v>
      </c>
      <c r="G167" s="172"/>
      <c r="H167" s="249">
        <v>0</v>
      </c>
      <c r="I167" s="302">
        <f>F167-H167</f>
        <v>0</v>
      </c>
      <c r="L167" s="146"/>
    </row>
    <row r="168" spans="1:12" s="107" customFormat="1">
      <c r="A168" s="106">
        <v>0</v>
      </c>
      <c r="B168" s="74" t="s">
        <v>100</v>
      </c>
      <c r="D168" s="180">
        <v>0</v>
      </c>
      <c r="E168" s="211">
        <f>F168-D168</f>
        <v>0</v>
      </c>
      <c r="F168" s="211">
        <f t="shared" si="44"/>
        <v>0</v>
      </c>
      <c r="G168" s="172"/>
      <c r="H168" s="249">
        <v>0</v>
      </c>
      <c r="I168" s="302">
        <f t="shared" ref="I168" si="45">F168-H168</f>
        <v>0</v>
      </c>
      <c r="L168" s="146"/>
    </row>
    <row r="169" spans="1:12" s="107" customFormat="1">
      <c r="A169" s="106">
        <v>0</v>
      </c>
      <c r="B169" s="74" t="s">
        <v>84</v>
      </c>
      <c r="D169" s="180">
        <v>0</v>
      </c>
      <c r="E169" s="211">
        <f t="shared" ref="E169:E195" si="46">F169-D169</f>
        <v>0</v>
      </c>
      <c r="F169" s="211">
        <f t="shared" si="44"/>
        <v>0</v>
      </c>
      <c r="G169" s="172"/>
      <c r="H169" s="249">
        <v>0</v>
      </c>
      <c r="I169" s="302">
        <f>F169-H169</f>
        <v>0</v>
      </c>
      <c r="L169" s="146"/>
    </row>
    <row r="170" spans="1:12" s="107" customFormat="1">
      <c r="A170" s="106">
        <v>0</v>
      </c>
      <c r="B170" s="74" t="s">
        <v>84</v>
      </c>
      <c r="D170" s="180">
        <v>0</v>
      </c>
      <c r="E170" s="211">
        <f t="shared" si="46"/>
        <v>0</v>
      </c>
      <c r="F170" s="211">
        <f t="shared" si="44"/>
        <v>0</v>
      </c>
      <c r="G170" s="172"/>
      <c r="H170" s="249">
        <v>0</v>
      </c>
      <c r="I170" s="302">
        <f t="shared" ref="I170" si="47">F170-H170</f>
        <v>0</v>
      </c>
      <c r="L170" s="146"/>
    </row>
    <row r="171" spans="1:12" s="107" customFormat="1">
      <c r="A171" s="106" t="s">
        <v>11</v>
      </c>
      <c r="B171" s="74"/>
      <c r="D171" s="183" t="s">
        <v>11</v>
      </c>
      <c r="E171" s="162" t="s">
        <v>11</v>
      </c>
      <c r="F171" s="165" t="s">
        <v>11</v>
      </c>
      <c r="G171" s="172"/>
      <c r="L171" s="146"/>
    </row>
    <row r="172" spans="1:12" s="107" customFormat="1">
      <c r="A172" s="106" t="s">
        <v>11</v>
      </c>
      <c r="B172" s="88" t="s">
        <v>101</v>
      </c>
      <c r="D172" s="183" t="s">
        <v>11</v>
      </c>
      <c r="E172" s="162" t="s">
        <v>11</v>
      </c>
      <c r="F172" s="165" t="s">
        <v>11</v>
      </c>
      <c r="G172" s="172"/>
      <c r="L172" s="146"/>
    </row>
    <row r="173" spans="1:12" s="107" customFormat="1">
      <c r="A173" s="106">
        <v>0</v>
      </c>
      <c r="B173" s="74" t="s">
        <v>102</v>
      </c>
      <c r="D173" s="180">
        <v>0</v>
      </c>
      <c r="E173" s="211">
        <f t="shared" si="46"/>
        <v>0</v>
      </c>
      <c r="F173" s="211">
        <f t="shared" ref="F173:F177" si="48">ROUNDUP((D173*fee/5),0)*5</f>
        <v>0</v>
      </c>
      <c r="G173" s="172"/>
      <c r="H173" s="294">
        <v>0</v>
      </c>
      <c r="I173" s="301">
        <f>F173-H173</f>
        <v>0</v>
      </c>
      <c r="L173" s="146"/>
    </row>
    <row r="174" spans="1:12" s="107" customFormat="1">
      <c r="A174" s="106">
        <v>0</v>
      </c>
      <c r="B174" s="74" t="s">
        <v>102</v>
      </c>
      <c r="D174" s="180">
        <v>0</v>
      </c>
      <c r="E174" s="211">
        <f t="shared" si="46"/>
        <v>0</v>
      </c>
      <c r="F174" s="211">
        <f t="shared" si="48"/>
        <v>0</v>
      </c>
      <c r="G174" s="172"/>
      <c r="H174" s="249">
        <v>0</v>
      </c>
      <c r="I174" s="302">
        <f>F174-H174</f>
        <v>0</v>
      </c>
      <c r="L174" s="146"/>
    </row>
    <row r="175" spans="1:12" s="107" customFormat="1">
      <c r="A175" s="106">
        <v>0</v>
      </c>
      <c r="B175" s="74" t="s">
        <v>84</v>
      </c>
      <c r="D175" s="180">
        <v>0</v>
      </c>
      <c r="E175" s="211">
        <f t="shared" si="46"/>
        <v>0</v>
      </c>
      <c r="F175" s="211">
        <f t="shared" si="48"/>
        <v>0</v>
      </c>
      <c r="G175" s="172"/>
      <c r="H175" s="249">
        <v>0</v>
      </c>
      <c r="I175" s="302">
        <f t="shared" ref="I175" si="49">F175-H175</f>
        <v>0</v>
      </c>
      <c r="L175" s="146"/>
    </row>
    <row r="176" spans="1:12" s="107" customFormat="1">
      <c r="A176" s="106">
        <v>0</v>
      </c>
      <c r="B176" s="74" t="s">
        <v>84</v>
      </c>
      <c r="D176" s="180">
        <v>0</v>
      </c>
      <c r="E176" s="211">
        <f t="shared" si="46"/>
        <v>0</v>
      </c>
      <c r="F176" s="211">
        <f t="shared" si="48"/>
        <v>0</v>
      </c>
      <c r="G176" s="172"/>
      <c r="H176" s="249">
        <v>0</v>
      </c>
      <c r="I176" s="302">
        <f>F176-H176</f>
        <v>0</v>
      </c>
      <c r="L176" s="146"/>
    </row>
    <row r="177" spans="1:12" s="107" customFormat="1">
      <c r="A177" s="106">
        <v>0</v>
      </c>
      <c r="B177" s="74" t="s">
        <v>84</v>
      </c>
      <c r="D177" s="180">
        <v>0</v>
      </c>
      <c r="E177" s="211">
        <f t="shared" si="46"/>
        <v>0</v>
      </c>
      <c r="F177" s="211">
        <f t="shared" si="48"/>
        <v>0</v>
      </c>
      <c r="G177" s="172"/>
      <c r="H177" s="249">
        <v>0</v>
      </c>
      <c r="I177" s="302">
        <f t="shared" ref="I177" si="50">F177-H177</f>
        <v>0</v>
      </c>
      <c r="L177" s="146"/>
    </row>
    <row r="178" spans="1:12" s="107" customFormat="1">
      <c r="A178" s="106" t="s">
        <v>11</v>
      </c>
      <c r="B178" s="74"/>
      <c r="D178" s="183" t="s">
        <v>11</v>
      </c>
      <c r="E178" s="162" t="s">
        <v>11</v>
      </c>
      <c r="F178" s="165" t="s">
        <v>11</v>
      </c>
      <c r="G178" s="172"/>
      <c r="L178" s="146"/>
    </row>
    <row r="179" spans="1:12" s="107" customFormat="1">
      <c r="A179" s="106" t="s">
        <v>11</v>
      </c>
      <c r="B179" s="88" t="s">
        <v>103</v>
      </c>
      <c r="D179" s="183" t="s">
        <v>11</v>
      </c>
      <c r="E179" s="162" t="s">
        <v>11</v>
      </c>
      <c r="F179" s="165" t="s">
        <v>11</v>
      </c>
      <c r="G179" s="172"/>
      <c r="L179" s="146"/>
    </row>
    <row r="180" spans="1:12" s="107" customFormat="1">
      <c r="A180" s="106">
        <v>0</v>
      </c>
      <c r="B180" s="74" t="s">
        <v>84</v>
      </c>
      <c r="D180" s="180">
        <v>0</v>
      </c>
      <c r="E180" s="211">
        <f t="shared" si="46"/>
        <v>0</v>
      </c>
      <c r="F180" s="211">
        <f t="shared" ref="F180:F182" si="51">ROUNDUP((D180*fee/5),0)*5</f>
        <v>0</v>
      </c>
      <c r="G180" s="172"/>
      <c r="H180" s="294">
        <v>0</v>
      </c>
      <c r="I180" s="301">
        <f>F180-H180</f>
        <v>0</v>
      </c>
      <c r="L180" s="146"/>
    </row>
    <row r="181" spans="1:12" s="107" customFormat="1">
      <c r="A181" s="106">
        <v>0</v>
      </c>
      <c r="B181" s="74" t="s">
        <v>84</v>
      </c>
      <c r="D181" s="180">
        <v>0</v>
      </c>
      <c r="E181" s="211">
        <f t="shared" si="46"/>
        <v>0</v>
      </c>
      <c r="F181" s="211">
        <f t="shared" si="51"/>
        <v>0</v>
      </c>
      <c r="G181" s="172"/>
      <c r="H181" s="249">
        <v>0</v>
      </c>
      <c r="I181" s="302">
        <f>F181-H181</f>
        <v>0</v>
      </c>
      <c r="L181" s="146"/>
    </row>
    <row r="182" spans="1:12" s="107" customFormat="1">
      <c r="A182" s="106">
        <v>0</v>
      </c>
      <c r="B182" s="74" t="s">
        <v>102</v>
      </c>
      <c r="D182" s="180">
        <v>0</v>
      </c>
      <c r="E182" s="211">
        <f t="shared" si="46"/>
        <v>0</v>
      </c>
      <c r="F182" s="211">
        <f t="shared" si="51"/>
        <v>0</v>
      </c>
      <c r="G182" s="172"/>
      <c r="H182" s="249">
        <v>0</v>
      </c>
      <c r="I182" s="302">
        <f t="shared" ref="I182" si="52">F182-H182</f>
        <v>0</v>
      </c>
      <c r="L182" s="146"/>
    </row>
    <row r="183" spans="1:12" s="107" customFormat="1">
      <c r="A183" s="106"/>
      <c r="B183" s="74"/>
      <c r="D183" s="183"/>
      <c r="E183" s="162"/>
      <c r="F183" s="165"/>
      <c r="G183" s="172"/>
      <c r="L183" s="146"/>
    </row>
    <row r="184" spans="1:12" s="107" customFormat="1">
      <c r="A184" s="106"/>
      <c r="B184" s="88" t="s">
        <v>104</v>
      </c>
      <c r="D184" s="183" t="s">
        <v>11</v>
      </c>
      <c r="E184" s="162" t="s">
        <v>11</v>
      </c>
      <c r="F184" s="165" t="s">
        <v>11</v>
      </c>
      <c r="G184" s="172"/>
      <c r="L184" s="146"/>
    </row>
    <row r="185" spans="1:12" s="107" customFormat="1">
      <c r="A185" s="106">
        <v>0</v>
      </c>
      <c r="B185" s="74" t="s">
        <v>84</v>
      </c>
      <c r="D185" s="180">
        <v>0</v>
      </c>
      <c r="E185" s="211">
        <f t="shared" si="46"/>
        <v>0</v>
      </c>
      <c r="F185" s="211">
        <f t="shared" ref="F185:F188" si="53">ROUNDUP((D185*fee/5),0)*5</f>
        <v>0</v>
      </c>
      <c r="G185" s="172"/>
      <c r="H185" s="294">
        <v>0</v>
      </c>
      <c r="I185" s="301">
        <f>F185-H185</f>
        <v>0</v>
      </c>
      <c r="L185" s="146"/>
    </row>
    <row r="186" spans="1:12" s="107" customFormat="1">
      <c r="A186" s="106">
        <v>0</v>
      </c>
      <c r="B186" s="74" t="s">
        <v>102</v>
      </c>
      <c r="D186" s="180">
        <v>0</v>
      </c>
      <c r="E186" s="211">
        <f t="shared" si="46"/>
        <v>0</v>
      </c>
      <c r="F186" s="211">
        <f t="shared" si="53"/>
        <v>0</v>
      </c>
      <c r="G186" s="172"/>
      <c r="H186" s="249">
        <v>0</v>
      </c>
      <c r="I186" s="302">
        <f>F186-H186</f>
        <v>0</v>
      </c>
      <c r="L186" s="146"/>
    </row>
    <row r="187" spans="1:12" s="107" customFormat="1">
      <c r="A187" s="106">
        <v>0</v>
      </c>
      <c r="B187" s="74" t="s">
        <v>102</v>
      </c>
      <c r="D187" s="180">
        <v>0</v>
      </c>
      <c r="E187" s="211">
        <f t="shared" si="46"/>
        <v>0</v>
      </c>
      <c r="F187" s="211">
        <f t="shared" si="53"/>
        <v>0</v>
      </c>
      <c r="G187" s="172"/>
      <c r="H187" s="249">
        <v>0</v>
      </c>
      <c r="I187" s="302">
        <f t="shared" ref="I187" si="54">F187-H187</f>
        <v>0</v>
      </c>
      <c r="L187" s="146"/>
    </row>
    <row r="188" spans="1:12" s="107" customFormat="1">
      <c r="A188" s="106">
        <v>0</v>
      </c>
      <c r="B188" s="74" t="s">
        <v>84</v>
      </c>
      <c r="D188" s="180">
        <v>0</v>
      </c>
      <c r="E188" s="211">
        <f t="shared" si="46"/>
        <v>0</v>
      </c>
      <c r="F188" s="211">
        <f t="shared" si="53"/>
        <v>0</v>
      </c>
      <c r="G188" s="172"/>
      <c r="H188" s="249">
        <v>0</v>
      </c>
      <c r="I188" s="302">
        <f>F188-H188</f>
        <v>0</v>
      </c>
      <c r="L188" s="146"/>
    </row>
    <row r="189" spans="1:12" s="107" customFormat="1">
      <c r="A189" s="106"/>
      <c r="B189" s="74"/>
      <c r="D189" s="183" t="s">
        <v>11</v>
      </c>
      <c r="E189" s="162" t="s">
        <v>11</v>
      </c>
      <c r="F189" s="165" t="s">
        <v>11</v>
      </c>
      <c r="G189" s="172"/>
      <c r="L189" s="146"/>
    </row>
    <row r="190" spans="1:12" s="107" customFormat="1">
      <c r="A190" s="106"/>
      <c r="B190" s="88" t="s">
        <v>105</v>
      </c>
      <c r="D190" s="183" t="s">
        <v>11</v>
      </c>
      <c r="E190" s="162" t="s">
        <v>11</v>
      </c>
      <c r="F190" s="165" t="s">
        <v>11</v>
      </c>
      <c r="G190" s="172"/>
      <c r="L190" s="146"/>
    </row>
    <row r="191" spans="1:12" s="107" customFormat="1">
      <c r="A191" s="106">
        <v>0</v>
      </c>
      <c r="B191" s="74" t="s">
        <v>84</v>
      </c>
      <c r="D191" s="180">
        <v>0</v>
      </c>
      <c r="E191" s="211">
        <f t="shared" ref="E191:E194" si="55">F191-D191</f>
        <v>0</v>
      </c>
      <c r="F191" s="211">
        <f t="shared" ref="F191:F195" si="56">ROUNDUP((D191*fee/5),0)*5</f>
        <v>0</v>
      </c>
      <c r="G191" s="172"/>
      <c r="H191" s="294">
        <v>0</v>
      </c>
      <c r="I191" s="301">
        <f>F191-H191</f>
        <v>0</v>
      </c>
      <c r="L191" s="146"/>
    </row>
    <row r="192" spans="1:12">
      <c r="A192" s="106">
        <v>0</v>
      </c>
      <c r="B192" s="74" t="s">
        <v>84</v>
      </c>
      <c r="D192" s="180">
        <v>0</v>
      </c>
      <c r="E192" s="211">
        <f t="shared" si="55"/>
        <v>0</v>
      </c>
      <c r="F192" s="211">
        <f t="shared" si="56"/>
        <v>0</v>
      </c>
      <c r="G192" s="172"/>
      <c r="H192" s="249">
        <v>0</v>
      </c>
      <c r="I192" s="302">
        <f>F192-H192</f>
        <v>0</v>
      </c>
    </row>
    <row r="193" spans="1:11">
      <c r="A193" s="106">
        <v>0</v>
      </c>
      <c r="B193" s="74" t="s">
        <v>84</v>
      </c>
      <c r="D193" s="180">
        <v>0</v>
      </c>
      <c r="E193" s="211">
        <f t="shared" si="55"/>
        <v>0</v>
      </c>
      <c r="F193" s="211">
        <f t="shared" si="56"/>
        <v>0</v>
      </c>
      <c r="G193" s="172"/>
      <c r="H193" s="249">
        <v>0</v>
      </c>
      <c r="I193" s="302">
        <f t="shared" ref="I193" si="57">F193-H193</f>
        <v>0</v>
      </c>
    </row>
    <row r="194" spans="1:11">
      <c r="A194" s="106">
        <v>0</v>
      </c>
      <c r="B194" s="74" t="s">
        <v>84</v>
      </c>
      <c r="D194" s="180">
        <v>0</v>
      </c>
      <c r="E194" s="211">
        <f t="shared" si="55"/>
        <v>0</v>
      </c>
      <c r="F194" s="211">
        <f t="shared" si="56"/>
        <v>0</v>
      </c>
      <c r="G194" s="172"/>
      <c r="H194" s="249">
        <v>0</v>
      </c>
      <c r="I194" s="302">
        <f>F194-H194</f>
        <v>0</v>
      </c>
    </row>
    <row r="195" spans="1:11">
      <c r="A195" s="106">
        <v>0</v>
      </c>
      <c r="B195" s="74" t="s">
        <v>84</v>
      </c>
      <c r="D195" s="180">
        <v>0</v>
      </c>
      <c r="E195" s="211">
        <f t="shared" si="46"/>
        <v>0</v>
      </c>
      <c r="F195" s="211">
        <f t="shared" si="56"/>
        <v>0</v>
      </c>
      <c r="G195" s="172"/>
      <c r="H195" s="249">
        <v>0</v>
      </c>
      <c r="I195" s="302">
        <f t="shared" ref="I195" si="58">F195-H195</f>
        <v>0</v>
      </c>
    </row>
    <row r="196" spans="1:11">
      <c r="B196" s="74"/>
      <c r="D196" s="162" t="s">
        <v>11</v>
      </c>
      <c r="E196" s="162" t="s">
        <v>11</v>
      </c>
      <c r="F196" s="165" t="s">
        <v>11</v>
      </c>
      <c r="G196" s="172"/>
    </row>
    <row r="197" spans="1:11">
      <c r="A197" s="106">
        <v>1</v>
      </c>
      <c r="B197" s="117" t="s">
        <v>106</v>
      </c>
      <c r="D197" s="228">
        <v>0</v>
      </c>
      <c r="E197" s="211">
        <f>F197-D197</f>
        <v>0</v>
      </c>
      <c r="F197" s="195">
        <v>0</v>
      </c>
      <c r="G197" s="172"/>
      <c r="H197" s="249">
        <v>0</v>
      </c>
      <c r="I197" s="302">
        <f t="shared" ref="I197" si="59">F197-H197</f>
        <v>0</v>
      </c>
    </row>
    <row r="198" spans="1:11">
      <c r="A198" s="106" t="s">
        <v>11</v>
      </c>
      <c r="B198" s="89" t="s">
        <v>11</v>
      </c>
      <c r="D198" s="164"/>
      <c r="E198" s="164" t="s">
        <v>11</v>
      </c>
      <c r="F198" s="231" t="s">
        <v>11</v>
      </c>
      <c r="G198" s="172"/>
    </row>
    <row r="199" spans="1:11" ht="14.1" thickBot="1">
      <c r="B199" s="78" t="s">
        <v>107</v>
      </c>
      <c r="C199" s="80"/>
      <c r="D199" s="207">
        <f>SUM(D166:D198)</f>
        <v>0</v>
      </c>
      <c r="E199" s="207">
        <f>SUM(E166:E198)</f>
        <v>0</v>
      </c>
      <c r="F199" s="194">
        <f>SUM(F166:F198)</f>
        <v>0</v>
      </c>
      <c r="G199" s="166"/>
      <c r="H199" s="316">
        <f>SUM(H166:H198)</f>
        <v>0</v>
      </c>
      <c r="I199" s="239">
        <f>F199-H199</f>
        <v>0</v>
      </c>
      <c r="J199" s="178" t="s">
        <v>11</v>
      </c>
      <c r="K199" s="176" t="s">
        <v>11</v>
      </c>
    </row>
    <row r="200" spans="1:11" ht="14.1" thickTop="1">
      <c r="C200" s="80"/>
      <c r="D200" s="161"/>
      <c r="E200" s="161"/>
      <c r="F200" s="161"/>
      <c r="G200" s="161"/>
      <c r="I200" s="107" t="s">
        <v>11</v>
      </c>
    </row>
    <row r="201" spans="1:11">
      <c r="C201" s="80"/>
      <c r="D201" s="161"/>
      <c r="E201" s="161"/>
      <c r="F201" s="161"/>
      <c r="G201" s="161"/>
    </row>
    <row r="202" spans="1:11">
      <c r="A202" s="146"/>
      <c r="B202" s="81" t="s">
        <v>108</v>
      </c>
      <c r="C202" s="80"/>
      <c r="D202" s="166"/>
      <c r="E202" s="161"/>
      <c r="F202" s="161"/>
      <c r="G202" s="161"/>
      <c r="H202" s="161"/>
      <c r="I202" s="146"/>
      <c r="J202" s="146"/>
    </row>
    <row r="203" spans="1:11" ht="12" customHeight="1">
      <c r="A203" s="146"/>
      <c r="B203" s="143" t="s">
        <v>109</v>
      </c>
      <c r="C203" s="80"/>
      <c r="D203" s="261">
        <f>'Budget show 3'!E34</f>
        <v>0</v>
      </c>
      <c r="E203" s="261">
        <f>'Budget show 3'!G34</f>
        <v>0</v>
      </c>
      <c r="F203" s="262">
        <f>'Budget show 3'!I34</f>
        <v>0</v>
      </c>
      <c r="H203" s="161"/>
      <c r="I203" s="146"/>
      <c r="J203" s="146"/>
    </row>
    <row r="204" spans="1:11" ht="12" customHeight="1">
      <c r="A204" s="146"/>
      <c r="B204" s="143" t="s">
        <v>43</v>
      </c>
      <c r="C204" s="80"/>
      <c r="D204" s="263">
        <f>'Budget show 3'!E35</f>
        <v>0</v>
      </c>
      <c r="E204" s="263">
        <f>'Budget show 3'!G35</f>
        <v>0</v>
      </c>
      <c r="F204" s="264">
        <f>'Budget show 3'!I35</f>
        <v>0</v>
      </c>
      <c r="H204" s="161"/>
      <c r="I204" s="146"/>
      <c r="J204" s="146"/>
    </row>
    <row r="205" spans="1:11" ht="12" customHeight="1">
      <c r="A205" s="146"/>
      <c r="B205" s="143" t="s">
        <v>48</v>
      </c>
      <c r="C205" s="80"/>
      <c r="D205" s="263">
        <f>'Budget show 3'!E40</f>
        <v>0</v>
      </c>
      <c r="E205" s="263">
        <f>'Budget show 3'!G40</f>
        <v>0</v>
      </c>
      <c r="F205" s="264">
        <f>'Budget show 3'!I143</f>
        <v>0</v>
      </c>
      <c r="H205" s="161"/>
      <c r="I205" s="146"/>
      <c r="J205" s="146"/>
    </row>
    <row r="206" spans="1:11" ht="12" customHeight="1">
      <c r="A206" s="146"/>
      <c r="B206" s="143" t="s">
        <v>49</v>
      </c>
      <c r="C206" s="80"/>
      <c r="D206" s="263">
        <f>'Budget show 3'!E41</f>
        <v>0</v>
      </c>
      <c r="E206" s="263">
        <f>'Budget show 3'!G41</f>
        <v>0</v>
      </c>
      <c r="F206" s="264">
        <f>'Budget show 3'!I144</f>
        <v>0</v>
      </c>
      <c r="H206" s="161"/>
      <c r="I206" s="146"/>
      <c r="J206" s="146"/>
    </row>
    <row r="207" spans="1:11" ht="12" customHeight="1">
      <c r="A207" s="146"/>
      <c r="B207" s="143" t="s">
        <v>50</v>
      </c>
      <c r="C207" s="80"/>
      <c r="D207" s="263">
        <f>'Budget show 3'!E42</f>
        <v>0</v>
      </c>
      <c r="E207" s="263">
        <f>'Budget show 3'!G42</f>
        <v>0</v>
      </c>
      <c r="F207" s="264">
        <f>'Budget show 3'!I145</f>
        <v>0</v>
      </c>
      <c r="H207" s="161"/>
      <c r="I207" s="146"/>
      <c r="J207" s="146"/>
    </row>
    <row r="208" spans="1:11" ht="12" customHeight="1">
      <c r="A208" s="146"/>
      <c r="B208" s="143" t="s">
        <v>50</v>
      </c>
      <c r="C208" s="80"/>
      <c r="D208" s="263">
        <f>'Budget show 3'!E43</f>
        <v>0</v>
      </c>
      <c r="E208" s="263">
        <f>'Budget show 3'!G43</f>
        <v>0</v>
      </c>
      <c r="F208" s="264">
        <f>'Budget show 3'!I146</f>
        <v>0</v>
      </c>
      <c r="H208" s="161"/>
      <c r="I208" s="146"/>
      <c r="J208" s="146"/>
    </row>
    <row r="209" spans="1:11" ht="12" customHeight="1">
      <c r="A209" s="146"/>
      <c r="B209" s="260" t="s">
        <v>51</v>
      </c>
      <c r="C209" s="80"/>
      <c r="D209" s="263">
        <f>'Budget show 3'!E44</f>
        <v>0</v>
      </c>
      <c r="E209" s="263">
        <f>'Budget show 3'!G44</f>
        <v>0</v>
      </c>
      <c r="F209" s="264">
        <f>'Budget show 3'!I147</f>
        <v>0</v>
      </c>
      <c r="H209" s="161"/>
      <c r="I209" s="146"/>
      <c r="J209" s="146"/>
    </row>
    <row r="210" spans="1:11" ht="12" customHeight="1">
      <c r="A210" s="146"/>
      <c r="B210" s="143" t="s">
        <v>52</v>
      </c>
      <c r="C210" s="80"/>
      <c r="D210" s="263">
        <f>'Budget show 3'!E45</f>
        <v>0</v>
      </c>
      <c r="E210" s="263">
        <f>'Budget show 3'!G45</f>
        <v>0</v>
      </c>
      <c r="F210" s="118"/>
      <c r="H210" s="161"/>
      <c r="I210" s="146"/>
      <c r="J210" s="146"/>
    </row>
    <row r="211" spans="1:11">
      <c r="A211" s="146"/>
      <c r="B211" s="76" t="s">
        <v>11</v>
      </c>
      <c r="C211" s="80"/>
      <c r="D211" s="110">
        <v>0</v>
      </c>
      <c r="E211" s="119">
        <f>F211-D211</f>
        <v>0</v>
      </c>
      <c r="F211" s="118"/>
      <c r="H211" s="161"/>
      <c r="I211" s="146"/>
      <c r="J211" s="146"/>
    </row>
    <row r="212" spans="1:11">
      <c r="A212" s="146"/>
      <c r="B212" s="76"/>
      <c r="C212" s="80"/>
      <c r="D212" s="110">
        <v>0</v>
      </c>
      <c r="E212" s="119">
        <f>F212-D212</f>
        <v>0</v>
      </c>
      <c r="F212" s="118"/>
      <c r="H212" s="161"/>
      <c r="I212" s="146"/>
      <c r="J212" s="146"/>
    </row>
    <row r="213" spans="1:11">
      <c r="A213" s="146"/>
      <c r="B213" s="76"/>
      <c r="C213" s="80"/>
      <c r="D213" s="110">
        <v>0</v>
      </c>
      <c r="E213" s="119">
        <f>F213-D213</f>
        <v>0</v>
      </c>
      <c r="F213" s="118"/>
      <c r="H213" s="161"/>
      <c r="I213" s="146"/>
      <c r="J213" s="146"/>
    </row>
    <row r="214" spans="1:11">
      <c r="A214" s="146"/>
      <c r="B214" s="76"/>
      <c r="C214" s="80"/>
      <c r="D214" s="110">
        <v>0</v>
      </c>
      <c r="E214" s="119">
        <f>F214-D214</f>
        <v>0</v>
      </c>
      <c r="F214" s="118"/>
      <c r="H214" s="161"/>
      <c r="I214" s="146"/>
      <c r="J214" s="146"/>
    </row>
    <row r="215" spans="1:11">
      <c r="A215" s="146"/>
      <c r="B215" s="82" t="s">
        <v>11</v>
      </c>
      <c r="C215" s="80"/>
      <c r="D215" s="196" t="s">
        <v>11</v>
      </c>
      <c r="E215" s="197" t="s">
        <v>11</v>
      </c>
      <c r="F215" s="144"/>
      <c r="H215" s="154" t="s">
        <v>83</v>
      </c>
      <c r="I215" s="154" t="s">
        <v>77</v>
      </c>
    </row>
    <row r="216" spans="1:11" ht="14.1" thickBot="1">
      <c r="A216" s="146"/>
      <c r="B216" s="97" t="str">
        <f>B202</f>
        <v>Hoynck bv Project Management</v>
      </c>
      <c r="C216" s="80"/>
      <c r="D216" s="217">
        <f>SUM(D203:D215)</f>
        <v>0</v>
      </c>
      <c r="E216" s="217">
        <f>SUM(E203:E215)</f>
        <v>0</v>
      </c>
      <c r="F216" s="192">
        <f>SUM(F203:F215)</f>
        <v>0</v>
      </c>
      <c r="H216" s="167">
        <v>0</v>
      </c>
      <c r="I216" s="168">
        <f>F216-H216</f>
        <v>0</v>
      </c>
    </row>
    <row r="217" spans="1:11" ht="14.1" thickTop="1">
      <c r="C217" s="80"/>
      <c r="D217" s="161"/>
      <c r="E217" s="161"/>
      <c r="F217" s="161"/>
      <c r="G217" s="161"/>
    </row>
    <row r="218" spans="1:11">
      <c r="C218" s="80"/>
      <c r="D218" s="161"/>
      <c r="E218" s="161"/>
      <c r="F218" s="161"/>
      <c r="G218" s="161"/>
    </row>
    <row r="219" spans="1:11">
      <c r="B219" s="81" t="s">
        <v>110</v>
      </c>
      <c r="C219" s="80"/>
      <c r="D219" s="161"/>
      <c r="E219" s="161"/>
      <c r="F219" s="161"/>
      <c r="G219" s="161"/>
    </row>
    <row r="220" spans="1:11">
      <c r="B220" s="74" t="s">
        <v>111</v>
      </c>
      <c r="C220" s="80"/>
      <c r="D220" s="201">
        <f>D160</f>
        <v>0</v>
      </c>
      <c r="E220" s="202">
        <f>E160</f>
        <v>0</v>
      </c>
      <c r="F220" s="198">
        <f>F160</f>
        <v>0</v>
      </c>
      <c r="G220" s="161"/>
      <c r="H220" s="312">
        <f>IFERROR(F220/F223,0)</f>
        <v>0</v>
      </c>
      <c r="K220" s="146"/>
    </row>
    <row r="221" spans="1:11">
      <c r="B221" s="74" t="s">
        <v>112</v>
      </c>
      <c r="C221" s="80"/>
      <c r="D221" s="204">
        <f>D199</f>
        <v>0</v>
      </c>
      <c r="E221" s="203">
        <f>E199</f>
        <v>0</v>
      </c>
      <c r="F221" s="199">
        <f>F199</f>
        <v>0</v>
      </c>
      <c r="G221" s="161"/>
      <c r="H221" s="313">
        <f>IFERROR(F221/F224,0)</f>
        <v>0</v>
      </c>
      <c r="K221" s="146"/>
    </row>
    <row r="222" spans="1:11">
      <c r="B222" s="89" t="s">
        <v>113</v>
      </c>
      <c r="C222" s="80"/>
      <c r="D222" s="205">
        <f>D216</f>
        <v>0</v>
      </c>
      <c r="E222" s="206">
        <f>E216</f>
        <v>0</v>
      </c>
      <c r="F222" s="200">
        <f>F216</f>
        <v>0</v>
      </c>
      <c r="G222" s="161"/>
      <c r="H222" s="314">
        <f>IFERROR(F222/F225,0)</f>
        <v>0</v>
      </c>
      <c r="K222" s="146"/>
    </row>
    <row r="223" spans="1:11" ht="14.1" thickBot="1">
      <c r="B223" s="84" t="s">
        <v>114</v>
      </c>
      <c r="C223" s="80"/>
      <c r="D223" s="207">
        <f>SUM(D220:D222)</f>
        <v>0</v>
      </c>
      <c r="E223" s="208">
        <f>SUM(E220:E222)</f>
        <v>0</v>
      </c>
      <c r="F223" s="192">
        <f>SUM(F220:F222)</f>
        <v>0</v>
      </c>
      <c r="G223" s="166"/>
      <c r="H223" s="86" t="s">
        <v>11</v>
      </c>
      <c r="K223" s="146"/>
    </row>
    <row r="224" spans="1:11" ht="14.1" thickTop="1">
      <c r="C224" s="80"/>
      <c r="D224" s="166"/>
      <c r="E224" s="203">
        <f>F223-D223</f>
        <v>0</v>
      </c>
      <c r="F224" s="185" t="s">
        <v>115</v>
      </c>
      <c r="G224" s="186"/>
      <c r="H224" s="86" t="s">
        <v>11</v>
      </c>
      <c r="K224" s="146"/>
    </row>
    <row r="225" spans="2:11" ht="12" customHeight="1">
      <c r="C225" s="80"/>
      <c r="D225" s="166"/>
      <c r="E225" s="218">
        <f>IFERROR(E223/F223,0)</f>
        <v>0</v>
      </c>
      <c r="F225" s="209">
        <f>IFERROR(F223/$A$10,0)</f>
        <v>0</v>
      </c>
      <c r="G225" s="187"/>
      <c r="H225" s="86" t="s">
        <v>11</v>
      </c>
      <c r="K225" s="146"/>
    </row>
    <row r="226" spans="2:11">
      <c r="C226" s="80"/>
      <c r="D226" s="161"/>
      <c r="E226" s="161"/>
      <c r="F226" s="166"/>
      <c r="G226" s="166"/>
      <c r="H226" s="86" t="s">
        <v>11</v>
      </c>
      <c r="J226" s="85"/>
    </row>
    <row r="227" spans="2:11">
      <c r="C227" s="80"/>
      <c r="D227" s="161"/>
      <c r="E227" s="161"/>
      <c r="F227" s="166"/>
      <c r="G227" s="166"/>
      <c r="H227" s="73" t="s">
        <v>83</v>
      </c>
      <c r="I227" s="73" t="s">
        <v>77</v>
      </c>
      <c r="J227" s="85"/>
    </row>
    <row r="228" spans="2:11">
      <c r="B228" s="81" t="s">
        <v>116</v>
      </c>
      <c r="C228" s="72"/>
      <c r="D228" s="188">
        <v>0</v>
      </c>
      <c r="E228" s="212">
        <f t="shared" ref="E228:E229" si="60">F228-D228</f>
        <v>0</v>
      </c>
      <c r="F228" s="191">
        <v>0</v>
      </c>
      <c r="G228" s="161"/>
      <c r="H228" s="229">
        <v>0</v>
      </c>
      <c r="I228" s="267">
        <f>F228-H228</f>
        <v>0</v>
      </c>
      <c r="J228" s="85"/>
    </row>
    <row r="229" spans="2:11">
      <c r="B229" s="81" t="s">
        <v>117</v>
      </c>
      <c r="C229" s="72"/>
      <c r="D229" s="188">
        <v>0</v>
      </c>
      <c r="E229" s="212">
        <f t="shared" si="60"/>
        <v>0</v>
      </c>
      <c r="F229" s="191">
        <v>0</v>
      </c>
      <c r="G229" s="161"/>
      <c r="H229" s="229">
        <v>0</v>
      </c>
      <c r="I229" s="267">
        <f>F229-H229</f>
        <v>0</v>
      </c>
      <c r="J229" s="85"/>
    </row>
    <row r="230" spans="2:11">
      <c r="C230" s="146"/>
      <c r="D230" s="161"/>
      <c r="E230" s="243" t="s">
        <v>118</v>
      </c>
      <c r="F230" s="244">
        <f>IFERROR(F228/F223,0)</f>
        <v>0</v>
      </c>
      <c r="G230" s="189"/>
      <c r="J230" s="85"/>
    </row>
    <row r="231" spans="2:11">
      <c r="C231" s="80"/>
      <c r="D231" s="161"/>
      <c r="E231" s="161"/>
      <c r="F231" s="166"/>
      <c r="G231" s="166"/>
      <c r="J231" s="85"/>
    </row>
    <row r="232" spans="2:11">
      <c r="C232" s="80"/>
      <c r="D232" s="161"/>
      <c r="E232" s="161"/>
      <c r="F232" s="166"/>
      <c r="G232" s="166"/>
      <c r="H232" s="73" t="s">
        <v>83</v>
      </c>
      <c r="I232" s="73" t="s">
        <v>77</v>
      </c>
      <c r="J232" s="85"/>
    </row>
    <row r="233" spans="2:11" ht="14.1" thickBot="1">
      <c r="B233" s="84" t="s">
        <v>119</v>
      </c>
      <c r="C233" s="80"/>
      <c r="D233" s="216">
        <f>D223+D228+D229</f>
        <v>0</v>
      </c>
      <c r="E233" s="255">
        <f>E223+E228+E229</f>
        <v>0</v>
      </c>
      <c r="F233" s="245">
        <f>F223+F228+F229</f>
        <v>0</v>
      </c>
      <c r="G233" s="166"/>
      <c r="H233" s="269">
        <f>H160+H199+H216+H228</f>
        <v>0</v>
      </c>
      <c r="I233" s="268">
        <f>F233-H233</f>
        <v>0</v>
      </c>
      <c r="J233" s="85"/>
      <c r="K233" s="146"/>
    </row>
    <row r="234" spans="2:11" ht="14.1" thickTop="1">
      <c r="C234" s="80"/>
      <c r="D234" s="166"/>
      <c r="E234" s="203">
        <f>F233-D233</f>
        <v>0</v>
      </c>
      <c r="F234" s="185" t="s">
        <v>115</v>
      </c>
      <c r="G234" s="166"/>
      <c r="J234" s="85"/>
      <c r="K234" s="146"/>
    </row>
    <row r="235" spans="2:11">
      <c r="C235" s="80"/>
      <c r="D235" s="166"/>
      <c r="E235" s="218">
        <f>IFERROR(E233/F233,0)</f>
        <v>0</v>
      </c>
      <c r="F235" s="209">
        <f>IFERROR(F233/$A$10,0)</f>
        <v>0</v>
      </c>
      <c r="G235" s="166"/>
      <c r="J235" s="85"/>
      <c r="K235" s="146"/>
    </row>
    <row r="236" spans="2:11">
      <c r="C236" s="80"/>
      <c r="D236" s="166"/>
      <c r="E236" s="161"/>
      <c r="F236" s="166"/>
      <c r="G236" s="166"/>
      <c r="J236" s="85"/>
      <c r="K236" s="146"/>
    </row>
    <row r="237" spans="2:11">
      <c r="B237" s="272" t="s">
        <v>38</v>
      </c>
      <c r="C237" s="67"/>
      <c r="D237" s="253"/>
      <c r="E237" s="253"/>
      <c r="F237" s="253"/>
      <c r="G237" s="166"/>
      <c r="J237" s="85"/>
      <c r="K237" s="146"/>
    </row>
    <row r="238" spans="2:11">
      <c r="B238" s="87" t="s">
        <v>120</v>
      </c>
      <c r="C238" s="67"/>
      <c r="D238" s="317">
        <f>'Budget show 3'!E36</f>
        <v>0</v>
      </c>
      <c r="E238" s="257">
        <f>'Budget show 3'!G36</f>
        <v>0</v>
      </c>
      <c r="F238" s="274"/>
      <c r="G238" s="166"/>
      <c r="J238" s="85"/>
      <c r="K238" s="146"/>
    </row>
    <row r="239" spans="2:11">
      <c r="B239" s="74" t="s">
        <v>121</v>
      </c>
      <c r="C239" s="67"/>
      <c r="D239" s="318">
        <f>'Budget show 3'!E37</f>
        <v>0</v>
      </c>
      <c r="E239" s="75">
        <f>'Budget show 3'!G37</f>
        <v>0</v>
      </c>
      <c r="F239" s="275"/>
      <c r="G239" s="166"/>
      <c r="J239" s="85"/>
      <c r="K239" s="146"/>
    </row>
    <row r="240" spans="2:11">
      <c r="B240" s="74" t="s">
        <v>122</v>
      </c>
      <c r="C240" s="67"/>
      <c r="D240" s="318">
        <f>'Budget show 3'!E38</f>
        <v>0</v>
      </c>
      <c r="E240" s="75">
        <f>'Budget show 3'!G38</f>
        <v>0</v>
      </c>
      <c r="F240" s="275"/>
      <c r="G240" s="166"/>
      <c r="J240" s="85"/>
      <c r="K240" s="146"/>
    </row>
    <row r="241" spans="1:11">
      <c r="B241" s="74" t="s">
        <v>123</v>
      </c>
      <c r="C241" s="67"/>
      <c r="D241" s="318">
        <f>'Budget show 3'!E39</f>
        <v>0</v>
      </c>
      <c r="E241" s="75">
        <f>'Budget show 3'!G39</f>
        <v>0</v>
      </c>
      <c r="F241" s="275"/>
      <c r="G241" s="166"/>
      <c r="J241" s="85"/>
      <c r="K241" s="146"/>
    </row>
    <row r="242" spans="1:11">
      <c r="B242" s="74"/>
      <c r="C242" s="67"/>
      <c r="D242" s="276"/>
      <c r="E242" s="77"/>
      <c r="F242" s="275"/>
      <c r="G242" s="166"/>
      <c r="J242" s="85"/>
      <c r="K242" s="146"/>
    </row>
    <row r="243" spans="1:11">
      <c r="B243" s="89" t="s">
        <v>11</v>
      </c>
      <c r="C243" s="67"/>
      <c r="D243" s="277" t="s">
        <v>11</v>
      </c>
      <c r="E243" s="83" t="s">
        <v>11</v>
      </c>
      <c r="F243" s="83" t="s">
        <v>11</v>
      </c>
      <c r="G243" s="166"/>
      <c r="J243" s="85"/>
      <c r="K243" s="146"/>
    </row>
    <row r="244" spans="1:11" ht="14.1" thickBot="1">
      <c r="B244" s="278" t="s">
        <v>124</v>
      </c>
      <c r="C244" s="67"/>
      <c r="D244" s="279">
        <f>SUM(D238:D243)</f>
        <v>0</v>
      </c>
      <c r="E244" s="279">
        <f>SUM(E238:E243)</f>
        <v>0</v>
      </c>
      <c r="F244" s="83" t="s">
        <v>11</v>
      </c>
      <c r="G244" s="166"/>
      <c r="J244" s="85"/>
      <c r="K244" s="146"/>
    </row>
    <row r="245" spans="1:11" ht="14.1" thickTop="1">
      <c r="C245" s="80"/>
      <c r="D245" s="166"/>
      <c r="E245" s="161"/>
      <c r="F245" s="166"/>
      <c r="G245" s="166"/>
      <c r="J245" s="85"/>
      <c r="K245" s="146"/>
    </row>
    <row r="246" spans="1:11" ht="14.1" thickBot="1">
      <c r="B246" s="84" t="s">
        <v>125</v>
      </c>
      <c r="C246" s="333"/>
      <c r="D246" s="280">
        <f>D244+D233</f>
        <v>0</v>
      </c>
      <c r="E246" s="280">
        <f>E244+E233</f>
        <v>0</v>
      </c>
      <c r="F246" s="332">
        <f>F233</f>
        <v>0</v>
      </c>
      <c r="G246" s="166"/>
      <c r="J246" s="85"/>
      <c r="K246" s="146"/>
    </row>
    <row r="247" spans="1:11" ht="14.1" thickTop="1">
      <c r="C247" s="80"/>
      <c r="D247" s="281"/>
      <c r="E247" s="75">
        <f>F246-D246</f>
        <v>0</v>
      </c>
      <c r="F247" s="282" t="s">
        <v>115</v>
      </c>
      <c r="G247" s="166"/>
      <c r="J247" s="85"/>
      <c r="K247" s="146"/>
    </row>
    <row r="248" spans="1:11">
      <c r="C248" s="80"/>
      <c r="D248" s="281"/>
      <c r="E248" s="218">
        <f>IFERROR(E246/F246,0)</f>
        <v>0</v>
      </c>
      <c r="F248" s="283">
        <f>IFERROR(F246/$A$10,0)</f>
        <v>0</v>
      </c>
      <c r="G248" s="166"/>
      <c r="J248" s="85"/>
      <c r="K248" s="146"/>
    </row>
    <row r="249" spans="1:11">
      <c r="B249" s="107"/>
      <c r="C249" s="85"/>
      <c r="E249" s="85"/>
      <c r="G249" s="166"/>
      <c r="J249" s="85"/>
      <c r="K249" s="146"/>
    </row>
    <row r="250" spans="1:11">
      <c r="B250" s="81" t="s">
        <v>126</v>
      </c>
      <c r="C250" s="80"/>
      <c r="D250" s="166"/>
      <c r="E250" s="161"/>
      <c r="F250" s="166"/>
      <c r="G250" s="166"/>
      <c r="H250" s="293" t="s">
        <v>83</v>
      </c>
      <c r="I250" s="293" t="s">
        <v>77</v>
      </c>
      <c r="J250" s="85"/>
      <c r="K250" s="146"/>
    </row>
    <row r="251" spans="1:11">
      <c r="A251" s="158">
        <v>0</v>
      </c>
      <c r="B251" s="159" t="s">
        <v>84</v>
      </c>
      <c r="D251" s="273">
        <v>0</v>
      </c>
      <c r="E251" s="292">
        <f>F251-D251</f>
        <v>0</v>
      </c>
      <c r="F251" s="171">
        <f t="shared" ref="F251:F252" si="61">ROUNDUP((D251*fee/5),0)*5</f>
        <v>0</v>
      </c>
      <c r="G251" s="172"/>
      <c r="H251" s="294">
        <v>0</v>
      </c>
      <c r="I251" s="295">
        <f>F251-H251</f>
        <v>0</v>
      </c>
      <c r="J251" s="85"/>
      <c r="K251" s="146"/>
    </row>
    <row r="252" spans="1:11" ht="14.1" thickBot="1">
      <c r="A252" s="106">
        <v>0</v>
      </c>
      <c r="B252" s="89" t="s">
        <v>84</v>
      </c>
      <c r="C252" s="80"/>
      <c r="D252" s="320">
        <v>0</v>
      </c>
      <c r="E252" s="327">
        <f>F252-D252</f>
        <v>0</v>
      </c>
      <c r="F252" s="163">
        <f t="shared" si="61"/>
        <v>0</v>
      </c>
      <c r="G252" s="166"/>
      <c r="H252" s="296">
        <v>0</v>
      </c>
      <c r="I252" s="297">
        <f>F252-H252</f>
        <v>0</v>
      </c>
      <c r="J252" s="85"/>
      <c r="K252" s="146"/>
    </row>
    <row r="253" spans="1:11" ht="15" thickTop="1" thickBot="1">
      <c r="B253" s="278" t="s">
        <v>127</v>
      </c>
      <c r="C253" s="67"/>
      <c r="D253" s="319">
        <f>SUM(D251:D252)</f>
        <v>0</v>
      </c>
      <c r="E253" s="319">
        <f>SUM(E251:E252)</f>
        <v>0</v>
      </c>
      <c r="F253" s="330">
        <f>SUM(F251:F252)</f>
        <v>0</v>
      </c>
      <c r="G253" s="146"/>
      <c r="J253" s="85"/>
      <c r="K253" s="146"/>
    </row>
    <row r="254" spans="1:11" ht="14.1" thickTop="1">
      <c r="C254" s="80"/>
      <c r="D254" s="166"/>
      <c r="E254" s="161"/>
      <c r="F254" s="166"/>
      <c r="G254" s="166"/>
      <c r="J254" s="85"/>
      <c r="K254" s="146"/>
    </row>
    <row r="255" spans="1:11">
      <c r="C255" s="80"/>
      <c r="D255" s="166"/>
      <c r="E255" s="161"/>
      <c r="F255" s="166"/>
      <c r="G255" s="166"/>
      <c r="H255" s="73" t="s">
        <v>83</v>
      </c>
      <c r="I255" s="73" t="s">
        <v>77</v>
      </c>
      <c r="J255" s="85"/>
      <c r="K255" s="146"/>
    </row>
    <row r="256" spans="1:11" ht="14.1" thickBot="1">
      <c r="B256" s="84" t="s">
        <v>128</v>
      </c>
      <c r="C256" s="80"/>
      <c r="D256" s="216">
        <f>D246+D253</f>
        <v>0</v>
      </c>
      <c r="E256" s="216">
        <f>E246+E253</f>
        <v>0</v>
      </c>
      <c r="F256" s="192">
        <f>F246+F253</f>
        <v>0</v>
      </c>
      <c r="G256" s="166"/>
      <c r="H256" s="269">
        <f>H233+H251+H252</f>
        <v>0</v>
      </c>
      <c r="I256" s="268">
        <f>F256-H256</f>
        <v>0</v>
      </c>
      <c r="J256" s="85"/>
      <c r="K256" s="146"/>
    </row>
    <row r="257" spans="2:11" ht="14.1" thickTop="1">
      <c r="C257" s="80"/>
      <c r="D257" s="166"/>
      <c r="E257" s="203">
        <f>F256-D256</f>
        <v>0</v>
      </c>
      <c r="F257" s="185" t="s">
        <v>115</v>
      </c>
      <c r="G257" s="166"/>
      <c r="J257" s="85"/>
      <c r="K257" s="146"/>
    </row>
    <row r="258" spans="2:11">
      <c r="C258" s="80"/>
      <c r="D258" s="166"/>
      <c r="E258" s="218">
        <f>IFERROR(E256/F256,0)</f>
        <v>0</v>
      </c>
      <c r="F258" s="209">
        <f>IFERROR(F256/$A$10,0)</f>
        <v>0</v>
      </c>
      <c r="G258" s="166"/>
      <c r="J258" s="85"/>
      <c r="K258" s="146"/>
    </row>
    <row r="259" spans="2:11">
      <c r="C259" s="80"/>
      <c r="D259" s="146"/>
      <c r="E259" s="146"/>
      <c r="F259" s="146"/>
      <c r="G259" s="166"/>
      <c r="J259" s="85"/>
      <c r="K259" s="146"/>
    </row>
    <row r="260" spans="2:11">
      <c r="C260" s="80"/>
      <c r="D260" s="281"/>
      <c r="G260" s="166"/>
      <c r="J260" s="85"/>
      <c r="K260" s="146"/>
    </row>
    <row r="261" spans="2:11">
      <c r="B261" s="272" t="s">
        <v>159</v>
      </c>
      <c r="C261" s="80"/>
      <c r="D261" s="281"/>
      <c r="F261" s="331"/>
      <c r="G261" s="166"/>
      <c r="H261" s="293" t="s">
        <v>83</v>
      </c>
      <c r="I261" s="293" t="s">
        <v>77</v>
      </c>
      <c r="J261" s="85"/>
      <c r="K261" s="146"/>
    </row>
    <row r="262" spans="2:11">
      <c r="B262" s="87"/>
      <c r="C262" s="80"/>
      <c r="D262" s="273">
        <v>0</v>
      </c>
      <c r="E262" s="298">
        <f>F262-D262</f>
        <v>0</v>
      </c>
      <c r="F262" s="163">
        <f t="shared" ref="F262:F263" si="62">ROUNDUP((D262*fee/5),0)*5</f>
        <v>0</v>
      </c>
      <c r="G262" s="146"/>
      <c r="H262" s="294">
        <v>0</v>
      </c>
      <c r="I262" s="295">
        <f>F262-H262</f>
        <v>0</v>
      </c>
      <c r="J262" s="85"/>
      <c r="K262" s="146"/>
    </row>
    <row r="263" spans="2:11" ht="14.1" thickBot="1">
      <c r="B263" s="74"/>
      <c r="C263" s="80"/>
      <c r="D263" s="320">
        <v>0</v>
      </c>
      <c r="E263" s="321">
        <f>F263-D263</f>
        <v>0</v>
      </c>
      <c r="F263" s="163">
        <f t="shared" si="62"/>
        <v>0</v>
      </c>
      <c r="G263" s="146"/>
      <c r="H263" s="296">
        <v>0</v>
      </c>
      <c r="I263" s="297">
        <f>F263-H263</f>
        <v>0</v>
      </c>
      <c r="J263" s="85"/>
      <c r="K263" s="146"/>
    </row>
    <row r="264" spans="2:11" ht="15" thickTop="1" thickBot="1">
      <c r="B264" s="278" t="s">
        <v>130</v>
      </c>
      <c r="C264" s="67"/>
      <c r="D264" s="319">
        <f>SUM(D262:D263)</f>
        <v>0</v>
      </c>
      <c r="E264" s="319">
        <f>SUM(E262:E263)</f>
        <v>0</v>
      </c>
      <c r="F264" s="330">
        <f>SUM(F262:F263)</f>
        <v>0</v>
      </c>
      <c r="G264" s="146"/>
      <c r="J264" s="85"/>
      <c r="K264" s="146"/>
    </row>
    <row r="265" spans="2:11" ht="14.1" thickTop="1">
      <c r="J265" s="85"/>
      <c r="K265" s="146"/>
    </row>
    <row r="266" spans="2:11">
      <c r="C266" s="80"/>
      <c r="D266" s="281"/>
      <c r="F266" s="85"/>
      <c r="G266" s="146"/>
      <c r="H266" s="73" t="s">
        <v>83</v>
      </c>
      <c r="I266" s="73" t="s">
        <v>77</v>
      </c>
      <c r="J266" s="85"/>
      <c r="K266" s="146"/>
    </row>
    <row r="267" spans="2:11" ht="14.1" thickBot="1">
      <c r="B267" s="84" t="s">
        <v>131</v>
      </c>
      <c r="C267" s="333"/>
      <c r="D267" s="280">
        <f>D264+D256</f>
        <v>0</v>
      </c>
      <c r="E267" s="280">
        <f>E256+E264</f>
        <v>0</v>
      </c>
      <c r="F267" s="332">
        <f>F256+F264</f>
        <v>0</v>
      </c>
      <c r="G267" s="146"/>
      <c r="H267" s="269">
        <f>H256+H262+H263</f>
        <v>0</v>
      </c>
      <c r="I267" s="268">
        <f>F267-H267</f>
        <v>0</v>
      </c>
      <c r="J267" s="146"/>
      <c r="K267" s="146"/>
    </row>
    <row r="268" spans="2:11" ht="14.1" thickTop="1">
      <c r="C268" s="80"/>
      <c r="D268" s="281"/>
      <c r="E268" s="75">
        <f>F267-D267</f>
        <v>0</v>
      </c>
      <c r="F268" s="282" t="s">
        <v>115</v>
      </c>
      <c r="G268" s="146"/>
      <c r="J268" s="85"/>
      <c r="K268" s="146"/>
    </row>
    <row r="269" spans="2:11">
      <c r="C269" s="80"/>
      <c r="D269" s="281"/>
      <c r="E269" s="218">
        <f>IFERROR(E267/F267,0)</f>
        <v>0</v>
      </c>
      <c r="F269" s="283">
        <f>IFERROR(F267/$A$10,0)</f>
        <v>0</v>
      </c>
      <c r="G269" s="146"/>
      <c r="J269" s="85"/>
      <c r="K269" s="146"/>
    </row>
    <row r="270" spans="2:11">
      <c r="C270" s="80"/>
      <c r="D270" s="281"/>
      <c r="F270" s="85"/>
      <c r="G270" s="146"/>
      <c r="J270" s="85"/>
      <c r="K270" s="146"/>
    </row>
    <row r="271" spans="2:11">
      <c r="B271" s="81" t="s">
        <v>132</v>
      </c>
      <c r="C271" s="80"/>
      <c r="D271" s="166"/>
      <c r="E271" s="161"/>
      <c r="F271" s="166"/>
      <c r="G271" s="146"/>
      <c r="J271" s="85"/>
      <c r="K271" s="146"/>
    </row>
    <row r="272" spans="2:11">
      <c r="B272" s="74" t="s">
        <v>11</v>
      </c>
      <c r="C272" s="80"/>
      <c r="D272" s="241" t="s">
        <v>11</v>
      </c>
      <c r="E272" s="160" t="s">
        <v>11</v>
      </c>
      <c r="F272" s="246" t="s">
        <v>11</v>
      </c>
      <c r="G272" s="146"/>
      <c r="J272" s="85"/>
      <c r="K272" s="146"/>
    </row>
    <row r="273" spans="1:11">
      <c r="B273" s="88" t="s">
        <v>133</v>
      </c>
      <c r="C273" s="80"/>
      <c r="D273" s="183" t="s">
        <v>11</v>
      </c>
      <c r="E273" s="162" t="s">
        <v>11</v>
      </c>
      <c r="F273" s="177" t="s">
        <v>11</v>
      </c>
      <c r="G273" s="146"/>
      <c r="J273" s="85"/>
      <c r="K273" s="146"/>
    </row>
    <row r="274" spans="1:11">
      <c r="B274" s="74" t="s">
        <v>84</v>
      </c>
      <c r="C274" s="80" t="s">
        <v>11</v>
      </c>
      <c r="D274" s="180">
        <v>0</v>
      </c>
      <c r="E274" s="211">
        <f t="shared" ref="E274:E275" si="63">F274-D274</f>
        <v>0</v>
      </c>
      <c r="F274" s="163">
        <f t="shared" ref="F274:F278" si="64">ROUNDUP((D274*fee/5),0)*5</f>
        <v>0</v>
      </c>
      <c r="G274" s="146"/>
      <c r="J274" s="85"/>
      <c r="K274" s="146"/>
    </row>
    <row r="275" spans="1:11">
      <c r="A275" s="106" t="s">
        <v>11</v>
      </c>
      <c r="B275" s="74" t="s">
        <v>84</v>
      </c>
      <c r="C275" s="80"/>
      <c r="D275" s="180">
        <v>0</v>
      </c>
      <c r="E275" s="211">
        <f t="shared" si="63"/>
        <v>0</v>
      </c>
      <c r="F275" s="163">
        <f t="shared" si="64"/>
        <v>0</v>
      </c>
      <c r="G275" s="146"/>
      <c r="J275" s="85"/>
      <c r="K275" s="146"/>
    </row>
    <row r="276" spans="1:11">
      <c r="A276" s="106" t="s">
        <v>11</v>
      </c>
      <c r="B276" s="74" t="s">
        <v>84</v>
      </c>
      <c r="C276" s="80" t="s">
        <v>11</v>
      </c>
      <c r="D276" s="180">
        <v>0</v>
      </c>
      <c r="E276" s="211">
        <f>F276-D276</f>
        <v>0</v>
      </c>
      <c r="F276" s="163">
        <f t="shared" si="64"/>
        <v>0</v>
      </c>
      <c r="G276" s="146"/>
      <c r="J276" s="85"/>
      <c r="K276" s="146"/>
    </row>
    <row r="277" spans="1:11">
      <c r="A277" s="106">
        <v>0</v>
      </c>
      <c r="B277" s="74" t="s">
        <v>84</v>
      </c>
      <c r="C277" s="80" t="s">
        <v>11</v>
      </c>
      <c r="D277" s="180">
        <v>0</v>
      </c>
      <c r="E277" s="211">
        <f t="shared" ref="E277" si="65">F277-D277</f>
        <v>0</v>
      </c>
      <c r="F277" s="163">
        <f t="shared" si="64"/>
        <v>0</v>
      </c>
      <c r="G277" s="146"/>
      <c r="J277" s="85"/>
      <c r="K277" s="146"/>
    </row>
    <row r="278" spans="1:11" ht="14.1" thickBot="1">
      <c r="B278" s="74" t="s">
        <v>84</v>
      </c>
      <c r="C278" s="80" t="s">
        <v>11</v>
      </c>
      <c r="D278" s="324">
        <v>0</v>
      </c>
      <c r="E278" s="325">
        <f>F278-D278</f>
        <v>0</v>
      </c>
      <c r="F278" s="326">
        <f t="shared" si="64"/>
        <v>0</v>
      </c>
      <c r="G278" s="146"/>
      <c r="J278" s="85"/>
      <c r="K278" s="146"/>
    </row>
    <row r="279" spans="1:11" ht="15" thickTop="1" thickBot="1">
      <c r="B279" s="278" t="s">
        <v>134</v>
      </c>
      <c r="C279" s="250"/>
      <c r="D279" s="322">
        <f>SUM(D274:D278)</f>
        <v>0</v>
      </c>
      <c r="E279" s="322">
        <f>SUM(E274:E278)</f>
        <v>0</v>
      </c>
      <c r="F279" s="323">
        <f>SUM(F274:F278)</f>
        <v>0</v>
      </c>
      <c r="G279" s="146"/>
      <c r="J279" s="85"/>
      <c r="K279" s="146"/>
    </row>
    <row r="280" spans="1:11" ht="14.1" thickTop="1">
      <c r="B280" s="252"/>
      <c r="C280" s="250"/>
      <c r="D280" s="251"/>
      <c r="E280" s="251"/>
      <c r="F280" s="251"/>
      <c r="G280" s="146"/>
      <c r="J280" s="85"/>
      <c r="K280" s="146"/>
    </row>
    <row r="281" spans="1:11">
      <c r="C281" s="80"/>
      <c r="D281" s="281"/>
      <c r="F281" s="85"/>
      <c r="G281" s="146"/>
      <c r="H281" s="73" t="s">
        <v>83</v>
      </c>
      <c r="I281" s="73" t="s">
        <v>77</v>
      </c>
      <c r="J281" s="85"/>
      <c r="K281" s="146"/>
    </row>
    <row r="282" spans="1:11" ht="14.1" thickBot="1">
      <c r="B282" s="84" t="s">
        <v>135</v>
      </c>
      <c r="C282" s="333"/>
      <c r="D282" s="280">
        <f>D279+D267</f>
        <v>0</v>
      </c>
      <c r="E282" s="280">
        <f>E279+E267</f>
        <v>0</v>
      </c>
      <c r="F282" s="332">
        <f>F279+F267</f>
        <v>0</v>
      </c>
      <c r="G282" s="146"/>
      <c r="H282" s="238">
        <f>H267+F279</f>
        <v>0</v>
      </c>
      <c r="I282" s="268">
        <f>F282-H282</f>
        <v>0</v>
      </c>
      <c r="J282" s="85"/>
      <c r="K282" s="146"/>
    </row>
    <row r="283" spans="1:11" ht="14.1" thickTop="1">
      <c r="C283" s="80"/>
      <c r="D283" s="281"/>
      <c r="E283" s="75">
        <f>F282-D282</f>
        <v>0</v>
      </c>
      <c r="F283" s="282" t="s">
        <v>115</v>
      </c>
      <c r="G283" s="146"/>
      <c r="J283" s="85"/>
      <c r="K283" s="146"/>
    </row>
    <row r="284" spans="1:11">
      <c r="C284" s="80"/>
      <c r="D284" s="281"/>
      <c r="E284" s="218">
        <f>IFERROR(E282/F282,0)</f>
        <v>0</v>
      </c>
      <c r="F284" s="283">
        <f>IFERROR(F282/$A$10,0)</f>
        <v>0</v>
      </c>
      <c r="G284" s="146"/>
      <c r="J284" s="85"/>
      <c r="K284" s="146"/>
    </row>
    <row r="285" spans="1:11">
      <c r="C285" s="80"/>
      <c r="D285" s="166"/>
      <c r="F285" s="85"/>
      <c r="G285" s="146"/>
      <c r="J285" s="85"/>
      <c r="K285" s="146"/>
    </row>
    <row r="286" spans="1:11">
      <c r="B286" s="81" t="s">
        <v>136</v>
      </c>
      <c r="C286" s="80"/>
      <c r="D286" s="166"/>
      <c r="E286" s="161"/>
      <c r="F286" s="166"/>
      <c r="G286" s="166"/>
      <c r="J286" s="85"/>
      <c r="K286" s="146"/>
    </row>
    <row r="287" spans="1:11">
      <c r="A287" s="106" t="s">
        <v>11</v>
      </c>
      <c r="B287" s="87" t="s">
        <v>11</v>
      </c>
      <c r="C287" s="80"/>
      <c r="D287" s="241" t="s">
        <v>11</v>
      </c>
      <c r="E287" s="160" t="s">
        <v>11</v>
      </c>
      <c r="F287" s="246" t="s">
        <v>11</v>
      </c>
      <c r="G287" s="174"/>
      <c r="J287" s="85"/>
      <c r="K287" s="146"/>
    </row>
    <row r="288" spans="1:11">
      <c r="A288" s="106">
        <v>0</v>
      </c>
      <c r="B288" s="74" t="s">
        <v>84</v>
      </c>
      <c r="C288" s="80"/>
      <c r="D288" s="180">
        <v>0</v>
      </c>
      <c r="E288" s="211">
        <f t="shared" ref="E288" si="66">F288-D288</f>
        <v>0</v>
      </c>
      <c r="F288" s="211">
        <f t="shared" ref="F288:F296" si="67">ROUNDUP((D288*fee/5),0)*5</f>
        <v>0</v>
      </c>
      <c r="G288" s="174"/>
      <c r="J288" s="85"/>
      <c r="K288" s="146"/>
    </row>
    <row r="289" spans="1:11">
      <c r="A289" s="106">
        <v>0</v>
      </c>
      <c r="B289" s="74" t="s">
        <v>84</v>
      </c>
      <c r="C289" s="80"/>
      <c r="D289" s="180">
        <v>0</v>
      </c>
      <c r="E289" s="211">
        <f>F289-D289</f>
        <v>0</v>
      </c>
      <c r="F289" s="211">
        <f t="shared" si="67"/>
        <v>0</v>
      </c>
      <c r="G289" s="174"/>
      <c r="J289" s="85"/>
      <c r="K289" s="146"/>
    </row>
    <row r="290" spans="1:11">
      <c r="A290" s="106">
        <v>0</v>
      </c>
      <c r="B290" s="74" t="s">
        <v>84</v>
      </c>
      <c r="C290" s="80"/>
      <c r="D290" s="180">
        <v>0</v>
      </c>
      <c r="E290" s="211">
        <f t="shared" ref="E290:E292" si="68">F290-D290</f>
        <v>0</v>
      </c>
      <c r="F290" s="211">
        <f t="shared" si="67"/>
        <v>0</v>
      </c>
      <c r="G290" s="174"/>
      <c r="J290" s="85"/>
      <c r="K290" s="146"/>
    </row>
    <row r="291" spans="1:11">
      <c r="A291" s="106">
        <v>0</v>
      </c>
      <c r="B291" s="74" t="s">
        <v>84</v>
      </c>
      <c r="C291" s="80"/>
      <c r="D291" s="180">
        <v>0</v>
      </c>
      <c r="E291" s="211">
        <f t="shared" si="68"/>
        <v>0</v>
      </c>
      <c r="F291" s="211">
        <f t="shared" si="67"/>
        <v>0</v>
      </c>
      <c r="G291" s="174"/>
      <c r="J291" s="85"/>
      <c r="K291" s="146"/>
    </row>
    <row r="292" spans="1:11">
      <c r="A292" s="106">
        <v>0</v>
      </c>
      <c r="B292" s="74" t="s">
        <v>84</v>
      </c>
      <c r="C292" s="80"/>
      <c r="D292" s="180">
        <v>0</v>
      </c>
      <c r="E292" s="211">
        <f t="shared" si="68"/>
        <v>0</v>
      </c>
      <c r="F292" s="211">
        <f t="shared" si="67"/>
        <v>0</v>
      </c>
      <c r="G292" s="174"/>
      <c r="J292" s="85"/>
      <c r="K292" s="146"/>
    </row>
    <row r="293" spans="1:11">
      <c r="A293" s="106">
        <v>0</v>
      </c>
      <c r="B293" s="74" t="s">
        <v>84</v>
      </c>
      <c r="C293" s="80"/>
      <c r="D293" s="180">
        <v>0</v>
      </c>
      <c r="E293" s="211">
        <f>F293-D293</f>
        <v>0</v>
      </c>
      <c r="F293" s="211">
        <f t="shared" si="67"/>
        <v>0</v>
      </c>
      <c r="G293" s="174"/>
      <c r="H293" s="85"/>
      <c r="K293" s="146"/>
    </row>
    <row r="294" spans="1:11" ht="15.95">
      <c r="A294" s="106">
        <v>0</v>
      </c>
      <c r="B294" s="74" t="s">
        <v>84</v>
      </c>
      <c r="C294" s="80"/>
      <c r="D294" s="180">
        <v>0</v>
      </c>
      <c r="E294" s="211">
        <f t="shared" ref="E294:E296" si="69">F294-D294</f>
        <v>0</v>
      </c>
      <c r="F294" s="211">
        <f t="shared" si="67"/>
        <v>0</v>
      </c>
      <c r="G294" s="174"/>
      <c r="H294" s="85" t="s">
        <v>11</v>
      </c>
      <c r="I294" s="247" t="s">
        <v>11</v>
      </c>
      <c r="K294" s="146"/>
    </row>
    <row r="295" spans="1:11">
      <c r="A295" s="106">
        <v>0</v>
      </c>
      <c r="B295" s="74" t="s">
        <v>84</v>
      </c>
      <c r="C295" s="80"/>
      <c r="D295" s="180">
        <v>0</v>
      </c>
      <c r="E295" s="211">
        <f t="shared" si="69"/>
        <v>0</v>
      </c>
      <c r="F295" s="211">
        <f t="shared" si="67"/>
        <v>0</v>
      </c>
      <c r="G295" s="174"/>
      <c r="H295" s="85"/>
      <c r="K295" s="146"/>
    </row>
    <row r="296" spans="1:11">
      <c r="A296" s="106">
        <v>0</v>
      </c>
      <c r="B296" s="74" t="s">
        <v>84</v>
      </c>
      <c r="C296" s="80"/>
      <c r="D296" s="180">
        <v>0</v>
      </c>
      <c r="E296" s="211">
        <f t="shared" si="69"/>
        <v>0</v>
      </c>
      <c r="F296" s="211">
        <f t="shared" si="67"/>
        <v>0</v>
      </c>
      <c r="G296" s="174"/>
      <c r="H296" s="85" t="s">
        <v>11</v>
      </c>
      <c r="K296" s="146"/>
    </row>
    <row r="297" spans="1:11">
      <c r="B297" s="89"/>
      <c r="C297" s="80"/>
      <c r="D297" s="190"/>
      <c r="E297" s="184"/>
      <c r="F297" s="248"/>
      <c r="G297" s="166"/>
      <c r="H297" s="73" t="s">
        <v>83</v>
      </c>
      <c r="I297" s="73" t="s">
        <v>77</v>
      </c>
      <c r="J297" s="85"/>
      <c r="K297" s="146"/>
    </row>
    <row r="298" spans="1:11">
      <c r="B298" s="97" t="s">
        <v>137</v>
      </c>
      <c r="C298" s="80"/>
      <c r="D298" s="256">
        <f>SUM(D288:D297)</f>
        <v>0</v>
      </c>
      <c r="E298" s="256">
        <f>SUM(E288:E297)</f>
        <v>0</v>
      </c>
      <c r="F298" s="191">
        <f>SUM(F288:F297)</f>
        <v>0</v>
      </c>
      <c r="G298" s="166"/>
      <c r="H298" s="229">
        <v>0</v>
      </c>
      <c r="I298" s="267">
        <f>F298-H298</f>
        <v>0</v>
      </c>
      <c r="J298" s="85"/>
      <c r="K298" s="146"/>
    </row>
    <row r="299" spans="1:11">
      <c r="C299" s="80"/>
      <c r="D299" s="166"/>
      <c r="E299" s="161"/>
      <c r="F299" s="166"/>
      <c r="G299" s="166"/>
      <c r="J299" s="85"/>
      <c r="K299" s="146"/>
    </row>
    <row r="300" spans="1:11">
      <c r="C300" s="80"/>
      <c r="D300" s="166"/>
      <c r="E300" s="161"/>
      <c r="F300" s="166"/>
      <c r="G300" s="166"/>
      <c r="J300" s="85"/>
      <c r="K300" s="146"/>
    </row>
    <row r="301" spans="1:11">
      <c r="C301" s="80"/>
      <c r="D301" s="166"/>
      <c r="E301" s="161"/>
      <c r="F301" s="166"/>
      <c r="G301" s="166"/>
      <c r="H301" s="73" t="s">
        <v>83</v>
      </c>
      <c r="I301" s="73" t="s">
        <v>77</v>
      </c>
    </row>
    <row r="302" spans="1:11" ht="14.1" thickBot="1">
      <c r="B302" s="299" t="s">
        <v>138</v>
      </c>
      <c r="C302" s="80"/>
      <c r="D302" s="216">
        <f>D282+D298</f>
        <v>0</v>
      </c>
      <c r="E302" s="216">
        <f>E298+E267</f>
        <v>0</v>
      </c>
      <c r="F302" s="192">
        <f>F298+F267</f>
        <v>0</v>
      </c>
      <c r="G302" s="166"/>
      <c r="H302" s="229">
        <v>0</v>
      </c>
      <c r="I302" s="267">
        <f>F302-H302</f>
        <v>0</v>
      </c>
      <c r="K302" s="146"/>
    </row>
    <row r="303" spans="1:11" ht="14.1" thickTop="1">
      <c r="C303" s="80"/>
      <c r="D303" s="166"/>
      <c r="E303" s="203">
        <f>F302-D302</f>
        <v>0</v>
      </c>
      <c r="F303" s="185" t="s">
        <v>115</v>
      </c>
      <c r="G303" s="166"/>
      <c r="J303" s="85"/>
      <c r="K303" s="146"/>
    </row>
    <row r="304" spans="1:11">
      <c r="C304" s="80"/>
      <c r="D304" s="166"/>
      <c r="E304" s="218">
        <f>IFERROR(E302/F302,0)</f>
        <v>0</v>
      </c>
      <c r="F304" s="209">
        <f>IFERROR(F302/$A$10,0)</f>
        <v>0</v>
      </c>
      <c r="G304" s="166"/>
      <c r="J304" s="85"/>
      <c r="K304" s="146"/>
    </row>
    <row r="305" spans="1:11">
      <c r="C305" s="80"/>
      <c r="D305" s="166"/>
      <c r="E305" s="161"/>
      <c r="F305" s="166"/>
      <c r="G305" s="166"/>
      <c r="J305" s="85"/>
      <c r="K305" s="146"/>
    </row>
    <row r="306" spans="1:11">
      <c r="B306" s="81" t="s">
        <v>139</v>
      </c>
      <c r="C306" s="80"/>
      <c r="D306" s="161"/>
      <c r="E306" s="161"/>
      <c r="F306" s="334"/>
      <c r="G306" s="166"/>
      <c r="J306" s="85"/>
      <c r="K306" s="146"/>
    </row>
    <row r="307" spans="1:11">
      <c r="B307" s="87" t="s">
        <v>11</v>
      </c>
      <c r="C307" s="80"/>
      <c r="D307" s="289">
        <v>0</v>
      </c>
      <c r="E307" s="202">
        <f>F307-D307</f>
        <v>0</v>
      </c>
      <c r="F307" s="211">
        <f>ROUNDUP((D307*1.1/5),0)*5</f>
        <v>0</v>
      </c>
      <c r="G307" s="166"/>
      <c r="J307" s="85"/>
      <c r="K307" s="146"/>
    </row>
    <row r="308" spans="1:11">
      <c r="B308" s="74"/>
      <c r="C308" s="80"/>
      <c r="D308" s="290">
        <v>0</v>
      </c>
      <c r="E308" s="203">
        <f>F308-D308</f>
        <v>0</v>
      </c>
      <c r="F308" s="211">
        <f t="shared" ref="F308:F309" si="70">ROUNDUP((D308*1.1/5),0)*5</f>
        <v>0</v>
      </c>
      <c r="G308" s="166"/>
      <c r="J308" s="85"/>
      <c r="K308" s="146"/>
    </row>
    <row r="309" spans="1:11">
      <c r="B309" s="89"/>
      <c r="C309" s="80"/>
      <c r="D309" s="291">
        <v>0</v>
      </c>
      <c r="E309" s="206">
        <f>F309-D309</f>
        <v>0</v>
      </c>
      <c r="F309" s="211">
        <f t="shared" si="70"/>
        <v>0</v>
      </c>
      <c r="G309" s="166"/>
      <c r="J309" s="85"/>
      <c r="K309" s="146"/>
    </row>
    <row r="310" spans="1:11">
      <c r="B310" s="89"/>
      <c r="C310" s="80"/>
      <c r="D310" s="190"/>
      <c r="E310" s="184"/>
      <c r="F310" s="248"/>
      <c r="G310" s="166"/>
      <c r="H310" s="73" t="s">
        <v>83</v>
      </c>
      <c r="I310" s="73" t="s">
        <v>77</v>
      </c>
      <c r="J310" s="85"/>
      <c r="K310" s="146"/>
    </row>
    <row r="311" spans="1:11">
      <c r="B311" s="97" t="s">
        <v>140</v>
      </c>
      <c r="C311" s="80"/>
      <c r="D311" s="256">
        <f>SUM(D307:D310)</f>
        <v>0</v>
      </c>
      <c r="E311" s="256">
        <f>SUM(E307:E310)</f>
        <v>0</v>
      </c>
      <c r="F311" s="191">
        <f>SUM(F307:F310)</f>
        <v>0</v>
      </c>
      <c r="G311" s="166"/>
      <c r="H311" s="229">
        <v>0</v>
      </c>
      <c r="I311" s="267">
        <f>F311-H311</f>
        <v>0</v>
      </c>
      <c r="J311" s="85"/>
      <c r="K311" s="146"/>
    </row>
    <row r="312" spans="1:11">
      <c r="C312" s="80"/>
      <c r="D312" s="161"/>
      <c r="E312" s="161"/>
      <c r="F312" s="166"/>
      <c r="G312" s="166"/>
      <c r="J312" s="85"/>
      <c r="K312" s="146"/>
    </row>
    <row r="313" spans="1:11">
      <c r="C313" s="80"/>
      <c r="D313" s="161"/>
      <c r="E313" s="161"/>
      <c r="F313" s="166"/>
      <c r="G313" s="166"/>
      <c r="H313" s="107" t="s">
        <v>11</v>
      </c>
      <c r="J313" s="85"/>
      <c r="K313" s="146"/>
    </row>
    <row r="314" spans="1:11" ht="14.1" thickBot="1">
      <c r="B314" s="299" t="s">
        <v>141</v>
      </c>
      <c r="C314" s="80"/>
      <c r="D314" s="216">
        <f>D302+D311</f>
        <v>0</v>
      </c>
      <c r="E314" s="255">
        <f>E302+E311</f>
        <v>0</v>
      </c>
      <c r="F314" s="245">
        <f>F302+F311</f>
        <v>0</v>
      </c>
      <c r="G314" s="166"/>
      <c r="J314" s="85"/>
      <c r="K314" s="146"/>
    </row>
    <row r="315" spans="1:11" ht="14.1" thickTop="1">
      <c r="C315" s="80"/>
      <c r="D315" s="166"/>
      <c r="E315" s="203">
        <f>F314-D314</f>
        <v>0</v>
      </c>
      <c r="F315" s="185" t="s">
        <v>115</v>
      </c>
      <c r="G315" s="166"/>
      <c r="J315" s="85"/>
      <c r="K315" s="146"/>
    </row>
    <row r="316" spans="1:11">
      <c r="C316" s="80"/>
      <c r="D316" s="166"/>
      <c r="E316" s="218">
        <f>IFERROR(E314/F314,0)</f>
        <v>0</v>
      </c>
      <c r="F316" s="209">
        <f>IFERROR(F314/$A$10,0)</f>
        <v>0</v>
      </c>
      <c r="G316" s="166"/>
      <c r="J316" s="85"/>
      <c r="K316" s="146"/>
    </row>
    <row r="317" spans="1:11">
      <c r="C317" s="80"/>
      <c r="D317" s="166"/>
      <c r="E317" s="161"/>
      <c r="F317" s="166"/>
      <c r="G317" s="166"/>
      <c r="J317" s="85"/>
      <c r="K317" s="146"/>
    </row>
    <row r="318" spans="1:11" s="252" customFormat="1">
      <c r="A318" s="106" t="s">
        <v>11</v>
      </c>
      <c r="B318" s="146"/>
      <c r="C318" s="80"/>
      <c r="D318" s="161"/>
      <c r="E318" s="161"/>
      <c r="F318" s="166"/>
      <c r="G318" s="161"/>
      <c r="H318" s="169" t="s">
        <v>11</v>
      </c>
      <c r="I318" s="80" t="s">
        <v>11</v>
      </c>
      <c r="J318" s="250"/>
    </row>
    <row r="319" spans="1:11">
      <c r="C319" s="80"/>
      <c r="D319" s="161"/>
      <c r="E319" s="161"/>
      <c r="F319" s="166"/>
      <c r="G319" s="161"/>
      <c r="I319" s="80"/>
      <c r="J319" s="85"/>
      <c r="K319" s="146"/>
    </row>
    <row r="320" spans="1:11">
      <c r="B320" s="90" t="s">
        <v>143</v>
      </c>
      <c r="C320" s="80"/>
      <c r="D320" s="266" t="s">
        <v>143</v>
      </c>
      <c r="E320" s="111" t="s">
        <v>144</v>
      </c>
      <c r="F320" s="111" t="s">
        <v>77</v>
      </c>
      <c r="G320" s="166"/>
      <c r="H320" s="169" t="s">
        <v>11</v>
      </c>
      <c r="I320" s="80" t="s">
        <v>11</v>
      </c>
      <c r="J320" s="85" t="s">
        <v>11</v>
      </c>
    </row>
    <row r="321" spans="1:12">
      <c r="B321" s="87" t="s">
        <v>145</v>
      </c>
      <c r="D321" s="108">
        <v>0</v>
      </c>
      <c r="E321" s="265">
        <f>'Budget show 1'!E52</f>
        <v>0</v>
      </c>
      <c r="F321" s="112">
        <f>D389-E321</f>
        <v>0</v>
      </c>
      <c r="G321" s="166"/>
      <c r="I321" s="80"/>
      <c r="J321" s="85"/>
    </row>
    <row r="322" spans="1:12">
      <c r="B322" s="74" t="s">
        <v>90</v>
      </c>
      <c r="D322" s="109">
        <v>0</v>
      </c>
      <c r="F322" s="120">
        <f>IFERROR(F321/E321,0)</f>
        <v>0</v>
      </c>
      <c r="G322" s="166"/>
      <c r="I322" s="80"/>
      <c r="J322" s="85"/>
    </row>
    <row r="323" spans="1:12" s="107" customFormat="1">
      <c r="A323" s="106"/>
      <c r="B323" s="74" t="s">
        <v>146</v>
      </c>
      <c r="D323" s="173">
        <v>0</v>
      </c>
      <c r="E323" s="253"/>
      <c r="F323" s="253"/>
      <c r="G323" s="161"/>
      <c r="J323" s="85"/>
      <c r="L323" s="146"/>
    </row>
    <row r="324" spans="1:12" s="107" customFormat="1">
      <c r="A324" s="106"/>
      <c r="B324" s="74"/>
      <c r="D324" s="336">
        <v>0</v>
      </c>
      <c r="E324" s="253"/>
      <c r="F324" s="253"/>
      <c r="G324" s="161"/>
      <c r="J324" s="85"/>
      <c r="L324" s="146"/>
    </row>
    <row r="325" spans="1:12" s="107" customFormat="1">
      <c r="A325" s="106"/>
      <c r="B325" s="91" t="s">
        <v>147</v>
      </c>
      <c r="D325" s="75">
        <f>SUM(D321:D324)</f>
        <v>0</v>
      </c>
      <c r="E325" s="253"/>
      <c r="F325" s="253"/>
      <c r="G325" s="161"/>
      <c r="J325" s="85"/>
      <c r="L325" s="146"/>
    </row>
    <row r="326" spans="1:12" s="107" customFormat="1">
      <c r="A326" s="106"/>
      <c r="B326" s="92" t="s">
        <v>148</v>
      </c>
      <c r="D326" s="258">
        <f>D160+D199</f>
        <v>0</v>
      </c>
      <c r="E326" s="253"/>
      <c r="F326" s="253"/>
      <c r="G326" s="161"/>
      <c r="L326" s="146"/>
    </row>
    <row r="327" spans="1:12" s="107" customFormat="1">
      <c r="A327" s="106"/>
      <c r="B327" s="92" t="s">
        <v>77</v>
      </c>
      <c r="D327" s="254">
        <f>D325-D326</f>
        <v>0</v>
      </c>
      <c r="E327" s="253"/>
      <c r="F327" s="253"/>
      <c r="G327" s="161"/>
      <c r="L327" s="146"/>
    </row>
    <row r="328" spans="1:12" s="107" customFormat="1">
      <c r="A328" s="106"/>
      <c r="B328" s="74"/>
      <c r="C328" s="67"/>
      <c r="D328" s="77"/>
      <c r="E328" s="253"/>
      <c r="F328" s="253"/>
      <c r="G328" s="161"/>
      <c r="L328" s="146"/>
    </row>
    <row r="329" spans="1:12" s="107" customFormat="1">
      <c r="A329" s="106"/>
      <c r="B329" s="88" t="s">
        <v>38</v>
      </c>
      <c r="C329" s="67"/>
      <c r="D329" s="77"/>
      <c r="E329" s="253"/>
      <c r="F329" s="253"/>
      <c r="G329" s="161"/>
      <c r="L329" s="146"/>
    </row>
    <row r="330" spans="1:12" s="107" customFormat="1">
      <c r="A330" s="106"/>
      <c r="B330" s="143" t="s">
        <v>52</v>
      </c>
      <c r="C330" s="67"/>
      <c r="D330" s="75">
        <f>D210</f>
        <v>0</v>
      </c>
      <c r="E330" s="253"/>
      <c r="F330" s="253"/>
      <c r="G330" s="161"/>
      <c r="L330" s="146"/>
    </row>
    <row r="331" spans="1:12" s="107" customFormat="1">
      <c r="A331" s="106"/>
      <c r="B331" s="143" t="s">
        <v>149</v>
      </c>
      <c r="C331" s="67"/>
      <c r="D331" s="109">
        <f>'Budget show 3'!E34</f>
        <v>0</v>
      </c>
      <c r="E331" s="253"/>
      <c r="F331" s="253"/>
      <c r="G331" s="161"/>
      <c r="L331" s="146"/>
    </row>
    <row r="332" spans="1:12" s="107" customFormat="1">
      <c r="A332" s="106"/>
      <c r="B332" s="143" t="s">
        <v>43</v>
      </c>
      <c r="C332" s="67"/>
      <c r="D332" s="109">
        <f>'Budget show 3'!E35</f>
        <v>0</v>
      </c>
      <c r="E332" s="253"/>
      <c r="F332" s="253"/>
      <c r="G332" s="161"/>
      <c r="L332" s="146"/>
    </row>
    <row r="333" spans="1:12" s="107" customFormat="1">
      <c r="A333" s="106"/>
      <c r="B333" s="74" t="s">
        <v>120</v>
      </c>
      <c r="C333" s="67"/>
      <c r="D333" s="110">
        <f>'Budget show 3'!E36</f>
        <v>0</v>
      </c>
      <c r="E333" s="253"/>
      <c r="F333" s="253"/>
      <c r="G333" s="161"/>
      <c r="L333" s="146"/>
    </row>
    <row r="334" spans="1:12" s="107" customFormat="1">
      <c r="A334" s="106"/>
      <c r="B334" s="74" t="s">
        <v>121</v>
      </c>
      <c r="C334" s="67"/>
      <c r="D334" s="110">
        <f>'Budget show 3'!E37</f>
        <v>0</v>
      </c>
      <c r="E334" s="253"/>
      <c r="F334" s="253"/>
      <c r="G334" s="161"/>
      <c r="L334" s="146"/>
    </row>
    <row r="335" spans="1:12" s="107" customFormat="1">
      <c r="A335" s="106"/>
      <c r="B335" s="74" t="s">
        <v>122</v>
      </c>
      <c r="C335" s="67"/>
      <c r="D335" s="110">
        <f>'Budget show 3'!E38</f>
        <v>0</v>
      </c>
      <c r="E335" s="253"/>
      <c r="F335" s="253"/>
      <c r="G335" s="161"/>
      <c r="L335" s="146"/>
    </row>
    <row r="336" spans="1:12" s="107" customFormat="1">
      <c r="A336" s="106"/>
      <c r="B336" s="74" t="s">
        <v>123</v>
      </c>
      <c r="C336" s="67"/>
      <c r="D336" s="110">
        <f>'Budget show 3'!E39</f>
        <v>0</v>
      </c>
      <c r="E336" s="253"/>
      <c r="F336" s="253"/>
      <c r="G336" s="161"/>
      <c r="L336" s="146"/>
    </row>
    <row r="337" spans="1:12" s="107" customFormat="1">
      <c r="A337" s="106"/>
      <c r="B337" s="143" t="s">
        <v>48</v>
      </c>
      <c r="C337" s="67"/>
      <c r="D337" s="109">
        <f>'Budget show 3'!E40</f>
        <v>0</v>
      </c>
      <c r="E337" s="253"/>
      <c r="F337" s="253"/>
      <c r="G337" s="161"/>
      <c r="L337" s="146"/>
    </row>
    <row r="338" spans="1:12" s="107" customFormat="1">
      <c r="A338" s="106"/>
      <c r="B338" s="143" t="s">
        <v>49</v>
      </c>
      <c r="C338" s="67"/>
      <c r="D338" s="109">
        <f>'Budget show 3'!E41</f>
        <v>0</v>
      </c>
      <c r="E338" s="253"/>
      <c r="F338" s="253"/>
      <c r="G338" s="161"/>
      <c r="L338" s="146"/>
    </row>
    <row r="339" spans="1:12" s="107" customFormat="1">
      <c r="A339" s="106"/>
      <c r="B339" s="143" t="s">
        <v>50</v>
      </c>
      <c r="C339" s="67"/>
      <c r="D339" s="109">
        <f>'Budget show 3'!E42</f>
        <v>0</v>
      </c>
      <c r="E339" s="253"/>
      <c r="F339" s="253"/>
      <c r="G339" s="161"/>
      <c r="L339" s="146"/>
    </row>
    <row r="340" spans="1:12" s="107" customFormat="1">
      <c r="A340" s="106"/>
      <c r="B340" s="143" t="s">
        <v>50</v>
      </c>
      <c r="C340" s="67"/>
      <c r="D340" s="110">
        <f>'Budget show 3'!E43</f>
        <v>0</v>
      </c>
      <c r="E340" s="253"/>
      <c r="F340" s="253"/>
      <c r="G340" s="161"/>
      <c r="L340" s="146"/>
    </row>
    <row r="341" spans="1:12" s="107" customFormat="1">
      <c r="A341" s="106"/>
      <c r="B341" s="143" t="s">
        <v>150</v>
      </c>
      <c r="C341" s="67"/>
      <c r="D341" s="337">
        <f>'Budget show 3'!E44</f>
        <v>0</v>
      </c>
      <c r="E341" s="253"/>
      <c r="F341" s="253"/>
      <c r="G341" s="161"/>
      <c r="L341" s="146"/>
    </row>
    <row r="342" spans="1:12" s="107" customFormat="1">
      <c r="A342" s="106"/>
      <c r="B342" s="91" t="s">
        <v>147</v>
      </c>
      <c r="D342" s="75">
        <f>SUM(D330:D341)</f>
        <v>0</v>
      </c>
      <c r="E342" s="253"/>
      <c r="F342" s="253"/>
      <c r="G342" s="161"/>
      <c r="J342" s="85"/>
      <c r="L342" s="146"/>
    </row>
    <row r="343" spans="1:12" s="107" customFormat="1">
      <c r="A343" s="106"/>
      <c r="B343" s="92" t="s">
        <v>148</v>
      </c>
      <c r="D343" s="258">
        <f>D216+D244</f>
        <v>0</v>
      </c>
      <c r="E343" s="253"/>
      <c r="F343" s="253"/>
      <c r="G343" s="161"/>
      <c r="L343" s="146"/>
    </row>
    <row r="344" spans="1:12" s="107" customFormat="1">
      <c r="A344" s="106"/>
      <c r="B344" s="92" t="s">
        <v>77</v>
      </c>
      <c r="D344" s="254">
        <f>D342-D343</f>
        <v>0</v>
      </c>
      <c r="E344" s="253"/>
      <c r="F344" s="253"/>
      <c r="G344" s="161"/>
      <c r="L344" s="146"/>
    </row>
    <row r="345" spans="1:12" s="107" customFormat="1">
      <c r="A345" s="106"/>
      <c r="B345" s="74"/>
      <c r="C345" s="67"/>
      <c r="D345" s="77"/>
      <c r="E345" s="253"/>
      <c r="F345" s="253"/>
      <c r="G345" s="161"/>
      <c r="L345" s="146"/>
    </row>
    <row r="346" spans="1:12" s="107" customFormat="1">
      <c r="A346" s="106"/>
      <c r="B346" s="88" t="s">
        <v>151</v>
      </c>
      <c r="C346" s="67"/>
      <c r="D346" s="77"/>
      <c r="E346" s="253"/>
      <c r="F346" s="253"/>
      <c r="G346" s="161"/>
      <c r="L346" s="146"/>
    </row>
    <row r="347" spans="1:12" s="107" customFormat="1">
      <c r="A347" s="106"/>
      <c r="B347" s="88"/>
      <c r="C347" s="67"/>
      <c r="D347" s="109">
        <v>0</v>
      </c>
      <c r="E347" s="253"/>
      <c r="F347" s="253"/>
      <c r="G347" s="161"/>
      <c r="L347" s="146"/>
    </row>
    <row r="348" spans="1:12" s="107" customFormat="1">
      <c r="A348" s="106"/>
      <c r="B348" s="74"/>
      <c r="C348" s="67"/>
      <c r="D348" s="338">
        <v>0</v>
      </c>
      <c r="E348" s="253"/>
      <c r="F348" s="253"/>
      <c r="G348" s="161"/>
      <c r="L348" s="146"/>
    </row>
    <row r="349" spans="1:12" s="107" customFormat="1">
      <c r="A349" s="106"/>
      <c r="B349" s="91" t="s">
        <v>147</v>
      </c>
      <c r="D349" s="75">
        <f>SUM(D347:D348)</f>
        <v>0</v>
      </c>
      <c r="E349" s="253"/>
      <c r="F349" s="253"/>
      <c r="G349" s="161"/>
      <c r="J349" s="85"/>
      <c r="L349" s="146"/>
    </row>
    <row r="350" spans="1:12" s="107" customFormat="1">
      <c r="A350" s="106"/>
      <c r="B350" s="92" t="s">
        <v>148</v>
      </c>
      <c r="D350" s="258">
        <f>D253</f>
        <v>0</v>
      </c>
      <c r="E350" s="253"/>
      <c r="F350" s="253"/>
      <c r="G350" s="161"/>
      <c r="L350" s="146"/>
    </row>
    <row r="351" spans="1:12" s="107" customFormat="1">
      <c r="A351" s="106"/>
      <c r="B351" s="92" t="s">
        <v>77</v>
      </c>
      <c r="D351" s="254">
        <f>D349-D350</f>
        <v>0</v>
      </c>
      <c r="E351" s="253"/>
      <c r="F351" s="253"/>
      <c r="G351" s="161"/>
      <c r="L351" s="146"/>
    </row>
    <row r="352" spans="1:12" s="107" customFormat="1">
      <c r="A352" s="106"/>
      <c r="B352" s="288"/>
      <c r="C352" s="67"/>
      <c r="D352" s="305"/>
      <c r="E352" s="253"/>
      <c r="F352" s="253"/>
      <c r="G352" s="161"/>
      <c r="L352" s="146"/>
    </row>
    <row r="353" spans="1:12" s="107" customFormat="1">
      <c r="A353" s="106"/>
      <c r="B353" s="88" t="s">
        <v>152</v>
      </c>
      <c r="C353" s="67"/>
      <c r="D353" s="77"/>
      <c r="E353" s="253"/>
      <c r="F353" s="253"/>
      <c r="G353" s="161"/>
      <c r="L353" s="146"/>
    </row>
    <row r="354" spans="1:12" s="107" customFormat="1">
      <c r="A354" s="106"/>
      <c r="B354" s="88"/>
      <c r="C354" s="67"/>
      <c r="D354" s="109">
        <v>0</v>
      </c>
      <c r="E354" s="253"/>
      <c r="F354" s="253"/>
      <c r="G354" s="161"/>
      <c r="L354" s="146"/>
    </row>
    <row r="355" spans="1:12" s="107" customFormat="1">
      <c r="A355" s="106"/>
      <c r="B355" s="74"/>
      <c r="C355" s="67"/>
      <c r="D355" s="338">
        <f>'Budget show 1'!E55</f>
        <v>0</v>
      </c>
      <c r="E355" s="253"/>
      <c r="F355" s="253"/>
      <c r="G355" s="161"/>
      <c r="L355" s="146"/>
    </row>
    <row r="356" spans="1:12" s="107" customFormat="1">
      <c r="A356" s="106"/>
      <c r="B356" s="91" t="s">
        <v>147</v>
      </c>
      <c r="D356" s="75">
        <f>SUM(D354:D355)</f>
        <v>0</v>
      </c>
      <c r="E356" s="253"/>
      <c r="F356" s="253"/>
      <c r="G356" s="161"/>
      <c r="J356" s="85"/>
      <c r="L356" s="146"/>
    </row>
    <row r="357" spans="1:12" s="107" customFormat="1">
      <c r="A357" s="106"/>
      <c r="B357" s="92" t="s">
        <v>148</v>
      </c>
      <c r="D357" s="258">
        <f>D264</f>
        <v>0</v>
      </c>
      <c r="E357" s="253"/>
      <c r="F357" s="253"/>
      <c r="G357" s="161"/>
      <c r="L357" s="146"/>
    </row>
    <row r="358" spans="1:12" s="107" customFormat="1">
      <c r="A358" s="106"/>
      <c r="B358" s="92" t="s">
        <v>77</v>
      </c>
      <c r="D358" s="254">
        <f>D356-D357</f>
        <v>0</v>
      </c>
      <c r="E358" s="253"/>
      <c r="F358" s="253"/>
      <c r="G358" s="161"/>
      <c r="L358" s="146"/>
    </row>
    <row r="359" spans="1:12" s="107" customFormat="1">
      <c r="A359" s="106"/>
      <c r="B359" s="74"/>
      <c r="C359" s="67"/>
      <c r="D359" s="77"/>
      <c r="E359" s="253"/>
      <c r="F359" s="253"/>
      <c r="G359" s="161"/>
      <c r="L359" s="146"/>
    </row>
    <row r="360" spans="1:12" s="107" customFormat="1">
      <c r="A360" s="106"/>
      <c r="B360" s="88" t="s">
        <v>153</v>
      </c>
      <c r="C360" s="67"/>
      <c r="D360" s="77"/>
      <c r="E360" s="253"/>
      <c r="F360" s="253"/>
      <c r="G360" s="161"/>
      <c r="L360" s="146"/>
    </row>
    <row r="361" spans="1:12" s="107" customFormat="1">
      <c r="A361" s="106"/>
      <c r="B361" s="88"/>
      <c r="C361" s="67"/>
      <c r="D361" s="109">
        <v>0</v>
      </c>
      <c r="E361" s="253"/>
      <c r="F361" s="253"/>
      <c r="G361" s="161"/>
      <c r="L361" s="146"/>
    </row>
    <row r="362" spans="1:12" s="107" customFormat="1">
      <c r="A362" s="106"/>
      <c r="B362" s="74"/>
      <c r="C362" s="67"/>
      <c r="D362" s="338">
        <f>'Budget show 1'!E60</f>
        <v>0</v>
      </c>
      <c r="E362" s="253"/>
      <c r="F362" s="253"/>
      <c r="G362" s="161"/>
      <c r="L362" s="146"/>
    </row>
    <row r="363" spans="1:12" s="107" customFormat="1">
      <c r="A363" s="106"/>
      <c r="B363" s="91" t="s">
        <v>147</v>
      </c>
      <c r="D363" s="75">
        <f>SUM(D361:D362)</f>
        <v>0</v>
      </c>
      <c r="E363" s="253"/>
      <c r="F363" s="253"/>
      <c r="G363" s="161"/>
      <c r="J363" s="85"/>
      <c r="L363" s="146"/>
    </row>
    <row r="364" spans="1:12" s="107" customFormat="1">
      <c r="A364" s="106"/>
      <c r="B364" s="92" t="s">
        <v>148</v>
      </c>
      <c r="D364" s="258">
        <f>D279</f>
        <v>0</v>
      </c>
      <c r="E364" s="253"/>
      <c r="F364" s="253"/>
      <c r="G364" s="161"/>
      <c r="L364" s="146"/>
    </row>
    <row r="365" spans="1:12" s="107" customFormat="1">
      <c r="A365" s="106"/>
      <c r="B365" s="92" t="s">
        <v>77</v>
      </c>
      <c r="D365" s="254">
        <f>D363-D364</f>
        <v>0</v>
      </c>
      <c r="E365" s="253"/>
      <c r="F365" s="253"/>
      <c r="G365" s="161"/>
      <c r="L365" s="146"/>
    </row>
    <row r="366" spans="1:12" s="107" customFormat="1">
      <c r="A366" s="106"/>
      <c r="B366" s="288"/>
      <c r="C366" s="67"/>
      <c r="D366" s="77"/>
      <c r="E366" s="253"/>
      <c r="F366" s="253"/>
      <c r="G366" s="161"/>
      <c r="L366" s="146"/>
    </row>
    <row r="367" spans="1:12" s="107" customFormat="1">
      <c r="A367" s="106"/>
      <c r="B367" s="88" t="s">
        <v>154</v>
      </c>
      <c r="C367" s="67"/>
      <c r="D367" s="77"/>
      <c r="E367" s="253"/>
      <c r="F367" s="253"/>
      <c r="G367" s="161"/>
      <c r="L367" s="146"/>
    </row>
    <row r="368" spans="1:12" s="107" customFormat="1">
      <c r="A368" s="106"/>
      <c r="B368" s="74"/>
      <c r="C368" s="67"/>
      <c r="D368" s="109">
        <v>0</v>
      </c>
      <c r="E368" s="253"/>
      <c r="F368" s="253"/>
      <c r="G368" s="161"/>
      <c r="L368" s="146"/>
    </row>
    <row r="369" spans="1:12" s="107" customFormat="1">
      <c r="A369" s="106"/>
      <c r="B369" s="74"/>
      <c r="C369" s="67"/>
      <c r="D369" s="109">
        <v>0</v>
      </c>
      <c r="E369" s="253"/>
      <c r="F369" s="253"/>
      <c r="G369" s="161"/>
      <c r="L369" s="146"/>
    </row>
    <row r="370" spans="1:12" s="107" customFormat="1">
      <c r="A370" s="106"/>
      <c r="B370" s="74"/>
      <c r="C370" s="67"/>
      <c r="D370" s="109">
        <v>0</v>
      </c>
      <c r="E370" s="253"/>
      <c r="F370" s="253"/>
      <c r="G370" s="161"/>
      <c r="L370" s="146"/>
    </row>
    <row r="371" spans="1:12" s="107" customFormat="1">
      <c r="A371" s="106"/>
      <c r="B371" s="74"/>
      <c r="C371" s="67"/>
      <c r="D371" s="109">
        <v>0</v>
      </c>
      <c r="E371" s="253"/>
      <c r="F371" s="253"/>
      <c r="G371" s="161"/>
      <c r="L371" s="146"/>
    </row>
    <row r="372" spans="1:12" s="107" customFormat="1">
      <c r="A372" s="106"/>
      <c r="B372" s="74"/>
      <c r="C372" s="67"/>
      <c r="D372" s="109">
        <v>0</v>
      </c>
      <c r="E372" s="253"/>
      <c r="F372" s="253"/>
      <c r="G372" s="161"/>
      <c r="L372" s="146"/>
    </row>
    <row r="373" spans="1:12" s="107" customFormat="1">
      <c r="A373" s="106"/>
      <c r="B373" s="74"/>
      <c r="C373" s="67"/>
      <c r="D373" s="338">
        <v>0</v>
      </c>
      <c r="E373" s="253"/>
      <c r="F373" s="253"/>
      <c r="G373" s="161"/>
      <c r="L373" s="146"/>
    </row>
    <row r="374" spans="1:12" s="107" customFormat="1">
      <c r="A374" s="106"/>
      <c r="B374" s="91" t="s">
        <v>147</v>
      </c>
      <c r="D374" s="75">
        <f>SUM(D368:D373)</f>
        <v>0</v>
      </c>
      <c r="E374" s="253"/>
      <c r="F374" s="253"/>
      <c r="G374" s="161"/>
      <c r="J374" s="85"/>
      <c r="L374" s="146"/>
    </row>
    <row r="375" spans="1:12" s="107" customFormat="1">
      <c r="A375" s="106"/>
      <c r="B375" s="92" t="s">
        <v>148</v>
      </c>
      <c r="D375" s="258">
        <f>D298</f>
        <v>0</v>
      </c>
      <c r="E375" s="253"/>
      <c r="F375" s="253"/>
      <c r="G375" s="161"/>
      <c r="L375" s="146"/>
    </row>
    <row r="376" spans="1:12" s="107" customFormat="1">
      <c r="A376" s="106"/>
      <c r="B376" s="92" t="s">
        <v>77</v>
      </c>
      <c r="D376" s="254">
        <f>D374-D375</f>
        <v>0</v>
      </c>
      <c r="E376" s="253"/>
      <c r="F376" s="253"/>
      <c r="G376" s="161"/>
      <c r="L376" s="146"/>
    </row>
    <row r="377" spans="1:12" s="107" customFormat="1">
      <c r="A377" s="106"/>
      <c r="B377" s="74"/>
      <c r="C377" s="67"/>
      <c r="D377" s="77"/>
      <c r="E377" s="253"/>
      <c r="F377" s="253"/>
      <c r="G377" s="161"/>
      <c r="L377" s="146"/>
    </row>
    <row r="378" spans="1:12" s="107" customFormat="1">
      <c r="A378" s="106"/>
      <c r="B378" s="88" t="s">
        <v>27</v>
      </c>
      <c r="C378" s="67"/>
      <c r="D378" s="77"/>
      <c r="E378" s="253"/>
      <c r="F378" s="253"/>
      <c r="G378" s="161"/>
      <c r="L378" s="146"/>
    </row>
    <row r="379" spans="1:12" s="107" customFormat="1">
      <c r="A379" s="106"/>
      <c r="B379" s="74"/>
      <c r="C379" s="67"/>
      <c r="D379" s="109">
        <v>0</v>
      </c>
      <c r="E379" s="253"/>
      <c r="F379" s="253"/>
      <c r="G379" s="161"/>
      <c r="L379" s="146"/>
    </row>
    <row r="380" spans="1:12" s="107" customFormat="1">
      <c r="A380" s="106"/>
      <c r="B380" s="74"/>
      <c r="C380" s="67"/>
      <c r="D380" s="109">
        <v>0</v>
      </c>
      <c r="E380" s="253"/>
      <c r="F380" s="253"/>
      <c r="G380" s="161"/>
      <c r="L380" s="146"/>
    </row>
    <row r="381" spans="1:12" s="107" customFormat="1">
      <c r="A381" s="106"/>
      <c r="B381" s="74"/>
      <c r="C381" s="67"/>
      <c r="D381" s="109">
        <v>0</v>
      </c>
      <c r="E381" s="253"/>
      <c r="F381" s="253"/>
      <c r="G381" s="161"/>
      <c r="L381" s="146"/>
    </row>
    <row r="382" spans="1:12" s="107" customFormat="1">
      <c r="A382" s="106"/>
      <c r="B382" s="74"/>
      <c r="C382" s="67"/>
      <c r="D382" s="109">
        <v>0</v>
      </c>
      <c r="E382" s="253"/>
      <c r="F382" s="253"/>
      <c r="G382" s="161"/>
      <c r="L382" s="146"/>
    </row>
    <row r="383" spans="1:12" s="107" customFormat="1">
      <c r="A383" s="106"/>
      <c r="B383" s="76"/>
      <c r="C383" s="67"/>
      <c r="D383" s="338">
        <v>0</v>
      </c>
      <c r="E383" s="253"/>
      <c r="F383" s="253"/>
      <c r="G383" s="161"/>
      <c r="L383" s="146"/>
    </row>
    <row r="384" spans="1:12" s="107" customFormat="1">
      <c r="A384" s="106"/>
      <c r="B384" s="91" t="s">
        <v>147</v>
      </c>
      <c r="D384" s="75">
        <f>SUM(D379:D383)</f>
        <v>0</v>
      </c>
      <c r="E384" s="253"/>
      <c r="F384" s="253"/>
      <c r="G384" s="161"/>
      <c r="J384" s="85"/>
      <c r="L384" s="146"/>
    </row>
    <row r="385" spans="1:12" s="107" customFormat="1">
      <c r="A385" s="106"/>
      <c r="B385" s="92" t="s">
        <v>148</v>
      </c>
      <c r="D385" s="258">
        <f>D311</f>
        <v>0</v>
      </c>
      <c r="E385" s="253"/>
      <c r="F385" s="253"/>
      <c r="G385" s="161"/>
      <c r="L385" s="146"/>
    </row>
    <row r="386" spans="1:12" s="107" customFormat="1">
      <c r="A386" s="106"/>
      <c r="B386" s="92" t="s">
        <v>77</v>
      </c>
      <c r="D386" s="254">
        <f>D384-D385</f>
        <v>0</v>
      </c>
      <c r="E386" s="253"/>
      <c r="F386" s="253"/>
      <c r="G386" s="161"/>
      <c r="L386" s="146"/>
    </row>
    <row r="387" spans="1:12" s="107" customFormat="1">
      <c r="A387" s="106"/>
      <c r="B387" s="89" t="s">
        <v>11</v>
      </c>
      <c r="C387" s="107" t="s">
        <v>11</v>
      </c>
      <c r="D387" s="83" t="s">
        <v>11</v>
      </c>
      <c r="E387" s="253"/>
      <c r="F387" s="253"/>
      <c r="G387" s="161"/>
      <c r="L387" s="146"/>
    </row>
    <row r="388" spans="1:12" s="107" customFormat="1">
      <c r="A388" s="106"/>
      <c r="B388" s="91" t="s">
        <v>147</v>
      </c>
      <c r="D388" s="257">
        <f>D325+D342+D349+D356+D363+D374+D384</f>
        <v>0</v>
      </c>
      <c r="E388" s="253"/>
      <c r="F388" s="253"/>
      <c r="G388" s="161"/>
      <c r="L388" s="146"/>
    </row>
    <row r="389" spans="1:12" s="107" customFormat="1">
      <c r="A389" s="106"/>
      <c r="B389" s="92" t="s">
        <v>148</v>
      </c>
      <c r="D389" s="258">
        <f>D314</f>
        <v>0</v>
      </c>
      <c r="E389" s="253"/>
      <c r="F389" s="253"/>
      <c r="G389" s="161"/>
      <c r="L389" s="146"/>
    </row>
    <row r="390" spans="1:12" s="107" customFormat="1">
      <c r="A390" s="106"/>
      <c r="B390" s="92" t="s">
        <v>77</v>
      </c>
      <c r="D390" s="254">
        <f>D388-D389</f>
        <v>0</v>
      </c>
      <c r="E390" s="253"/>
      <c r="F390" s="253"/>
      <c r="G390" s="161"/>
      <c r="H390" s="107" t="s">
        <v>11</v>
      </c>
      <c r="L390" s="146"/>
    </row>
    <row r="391" spans="1:12" s="107" customFormat="1">
      <c r="A391" s="106"/>
      <c r="B391" s="146"/>
      <c r="D391" s="253"/>
      <c r="E391" s="253"/>
      <c r="F391" s="253"/>
      <c r="G391" s="161"/>
      <c r="H391" s="146" t="s">
        <v>11</v>
      </c>
      <c r="L391" s="146"/>
    </row>
    <row r="392" spans="1:12" s="107" customFormat="1">
      <c r="A392" s="106"/>
      <c r="B392" s="146"/>
      <c r="D392" s="253"/>
      <c r="E392" s="253"/>
      <c r="F392" s="253"/>
      <c r="G392" s="161"/>
      <c r="H392" s="146"/>
      <c r="L392" s="146"/>
    </row>
    <row r="393" spans="1:12" s="107" customFormat="1">
      <c r="A393" s="106"/>
      <c r="B393" s="93" t="s">
        <v>155</v>
      </c>
      <c r="D393" s="253"/>
      <c r="E393" s="253"/>
      <c r="F393" s="253"/>
      <c r="G393" s="161"/>
      <c r="L393" s="146"/>
    </row>
    <row r="394" spans="1:12" s="107" customFormat="1">
      <c r="A394" s="106"/>
      <c r="B394" s="94" t="s">
        <v>156</v>
      </c>
      <c r="D394" s="122">
        <f>F314</f>
        <v>0</v>
      </c>
      <c r="F394" s="253"/>
      <c r="G394" s="161"/>
      <c r="L394" s="146"/>
    </row>
    <row r="395" spans="1:12" s="107" customFormat="1">
      <c r="A395" s="106"/>
      <c r="B395" s="95" t="s">
        <v>157</v>
      </c>
      <c r="D395" s="123">
        <f>'Budget show 1'!I19</f>
        <v>0</v>
      </c>
      <c r="F395" s="253"/>
      <c r="G395" s="161"/>
      <c r="L395" s="146"/>
    </row>
    <row r="396" spans="1:12" s="107" customFormat="1">
      <c r="A396" s="106"/>
      <c r="B396" s="95" t="s">
        <v>77</v>
      </c>
      <c r="D396" s="96">
        <f>D394-D395</f>
        <v>0</v>
      </c>
      <c r="E396" s="121">
        <f>IFERROR(D396/D395,0)</f>
        <v>0</v>
      </c>
      <c r="F396" s="253"/>
      <c r="G396" s="161"/>
      <c r="L396" s="146"/>
    </row>
    <row r="397" spans="1:12" s="107" customFormat="1">
      <c r="A397" s="106"/>
      <c r="B397" s="146"/>
      <c r="G397" s="161"/>
      <c r="L397" s="146"/>
    </row>
    <row r="398" spans="1:12" s="107" customFormat="1">
      <c r="A398" s="106"/>
      <c r="B398" s="146"/>
      <c r="G398" s="161"/>
      <c r="L398" s="146"/>
    </row>
    <row r="399" spans="1:12" s="107" customFormat="1">
      <c r="A399" s="106"/>
      <c r="B399" s="97" t="s">
        <v>158</v>
      </c>
      <c r="D399" s="98">
        <f ca="1">TODAY()</f>
        <v>46106</v>
      </c>
      <c r="G399" s="161"/>
      <c r="L399" s="146"/>
    </row>
    <row r="400" spans="1:12" s="107" customFormat="1">
      <c r="A400" s="106"/>
      <c r="B400" s="146"/>
      <c r="G400" s="161"/>
      <c r="L400" s="146"/>
    </row>
    <row r="401" spans="1:12" s="107" customFormat="1">
      <c r="A401" s="106"/>
      <c r="B401" s="146"/>
      <c r="L401" s="146"/>
    </row>
    <row r="402" spans="1:12" s="107" customFormat="1">
      <c r="A402" s="106"/>
      <c r="B402" s="146"/>
      <c r="L402" s="146"/>
    </row>
    <row r="403" spans="1:12" s="107" customFormat="1">
      <c r="A403" s="106"/>
      <c r="B403" s="146"/>
      <c r="L403" s="146"/>
    </row>
    <row r="405" spans="1:12" s="107" customFormat="1">
      <c r="A405" s="106"/>
      <c r="B405" s="146"/>
      <c r="L405" s="146"/>
    </row>
  </sheetData>
  <conditionalFormatting sqref="D327">
    <cfRule type="cellIs" dxfId="235" priority="14" stopIfTrue="1" operator="equal">
      <formula>0</formula>
    </cfRule>
    <cfRule type="cellIs" dxfId="234" priority="13" stopIfTrue="1" operator="notEqual">
      <formula>0</formula>
    </cfRule>
  </conditionalFormatting>
  <conditionalFormatting sqref="D344">
    <cfRule type="cellIs" dxfId="233" priority="12" stopIfTrue="1" operator="equal">
      <formula>0</formula>
    </cfRule>
    <cfRule type="cellIs" dxfId="232" priority="11" stopIfTrue="1" operator="notEqual">
      <formula>0</formula>
    </cfRule>
  </conditionalFormatting>
  <conditionalFormatting sqref="D351">
    <cfRule type="cellIs" dxfId="231" priority="10" stopIfTrue="1" operator="equal">
      <formula>0</formula>
    </cfRule>
    <cfRule type="cellIs" dxfId="230" priority="9" stopIfTrue="1" operator="notEqual">
      <formula>0</formula>
    </cfRule>
  </conditionalFormatting>
  <conditionalFormatting sqref="D358">
    <cfRule type="cellIs" dxfId="229" priority="7" stopIfTrue="1" operator="notEqual">
      <formula>0</formula>
    </cfRule>
    <cfRule type="cellIs" dxfId="228" priority="8" stopIfTrue="1" operator="equal">
      <formula>0</formula>
    </cfRule>
  </conditionalFormatting>
  <conditionalFormatting sqref="D365">
    <cfRule type="cellIs" dxfId="227" priority="6" stopIfTrue="1" operator="equal">
      <formula>0</formula>
    </cfRule>
    <cfRule type="cellIs" dxfId="226" priority="5" stopIfTrue="1" operator="notEqual">
      <formula>0</formula>
    </cfRule>
  </conditionalFormatting>
  <conditionalFormatting sqref="D376">
    <cfRule type="cellIs" dxfId="225" priority="4" stopIfTrue="1" operator="equal">
      <formula>0</formula>
    </cfRule>
    <cfRule type="cellIs" dxfId="224" priority="3" stopIfTrue="1" operator="notEqual">
      <formula>0</formula>
    </cfRule>
  </conditionalFormatting>
  <conditionalFormatting sqref="D386">
    <cfRule type="cellIs" dxfId="223" priority="2" stopIfTrue="1" operator="equal">
      <formula>0</formula>
    </cfRule>
    <cfRule type="cellIs" dxfId="222" priority="1" stopIfTrue="1" operator="notEqual">
      <formula>0</formula>
    </cfRule>
  </conditionalFormatting>
  <conditionalFormatting sqref="D390">
    <cfRule type="cellIs" dxfId="221" priority="115" stopIfTrue="1" operator="equal">
      <formula>0</formula>
    </cfRule>
    <cfRule type="cellIs" dxfId="220" priority="114" stopIfTrue="1" operator="notEqual">
      <formula>0</formula>
    </cfRule>
  </conditionalFormatting>
  <conditionalFormatting sqref="D396:E396">
    <cfRule type="cellIs" dxfId="219" priority="79" stopIfTrue="1" operator="lessThanOrEqual">
      <formula>0</formula>
    </cfRule>
    <cfRule type="cellIs" dxfId="218" priority="80" stopIfTrue="1" operator="greaterThan">
      <formula>0</formula>
    </cfRule>
  </conditionalFormatting>
  <conditionalFormatting sqref="F321:F322">
    <cfRule type="cellIs" dxfId="217" priority="82" stopIfTrue="1" operator="greaterThan">
      <formula>0</formula>
    </cfRule>
    <cfRule type="cellIs" dxfId="216" priority="81" stopIfTrue="1" operator="lessThanOrEqual">
      <formula>0</formula>
    </cfRule>
  </conditionalFormatting>
  <conditionalFormatting sqref="I10">
    <cfRule type="cellIs" dxfId="215" priority="85" operator="greaterThan">
      <formula>0</formula>
    </cfRule>
    <cfRule type="cellIs" dxfId="214" priority="86" operator="lessThanOrEqual">
      <formula>0</formula>
    </cfRule>
  </conditionalFormatting>
  <conditionalFormatting sqref="I15:I20">
    <cfRule type="cellIs" dxfId="213" priority="63" operator="greaterThan">
      <formula>0</formula>
    </cfRule>
    <cfRule type="cellIs" dxfId="212" priority="64" operator="lessThanOrEqual">
      <formula>0</formula>
    </cfRule>
  </conditionalFormatting>
  <conditionalFormatting sqref="I22">
    <cfRule type="cellIs" dxfId="211" priority="59" operator="greaterThan">
      <formula>0</formula>
    </cfRule>
    <cfRule type="cellIs" dxfId="210" priority="60" operator="lessThanOrEqual">
      <formula>0</formula>
    </cfRule>
  </conditionalFormatting>
  <conditionalFormatting sqref="I25">
    <cfRule type="cellIs" dxfId="209" priority="113" operator="lessThanOrEqual">
      <formula>0</formula>
    </cfRule>
    <cfRule type="cellIs" dxfId="208" priority="112" operator="greaterThan">
      <formula>0</formula>
    </cfRule>
  </conditionalFormatting>
  <conditionalFormatting sqref="I29:I37">
    <cfRule type="cellIs" dxfId="207" priority="62" operator="lessThanOrEqual">
      <formula>0</formula>
    </cfRule>
    <cfRule type="cellIs" dxfId="206" priority="61" operator="greaterThan">
      <formula>0</formula>
    </cfRule>
  </conditionalFormatting>
  <conditionalFormatting sqref="I39">
    <cfRule type="cellIs" dxfId="205" priority="58" operator="lessThanOrEqual">
      <formula>0</formula>
    </cfRule>
    <cfRule type="cellIs" dxfId="204" priority="57" operator="greaterThan">
      <formula>0</formula>
    </cfRule>
  </conditionalFormatting>
  <conditionalFormatting sqref="I41">
    <cfRule type="cellIs" dxfId="203" priority="111" operator="lessThanOrEqual">
      <formula>0</formula>
    </cfRule>
    <cfRule type="cellIs" dxfId="202" priority="110" operator="greaterThan">
      <formula>0</formula>
    </cfRule>
  </conditionalFormatting>
  <conditionalFormatting sqref="I45:I47">
    <cfRule type="cellIs" dxfId="201" priority="56" operator="lessThanOrEqual">
      <formula>0</formula>
    </cfRule>
    <cfRule type="cellIs" dxfId="200" priority="55" operator="greaterThan">
      <formula>0</formula>
    </cfRule>
  </conditionalFormatting>
  <conditionalFormatting sqref="I49">
    <cfRule type="cellIs" dxfId="199" priority="108" operator="greaterThan">
      <formula>0</formula>
    </cfRule>
    <cfRule type="cellIs" dxfId="198" priority="109" operator="lessThanOrEqual">
      <formula>0</formula>
    </cfRule>
  </conditionalFormatting>
  <conditionalFormatting sqref="I53:I66">
    <cfRule type="cellIs" dxfId="197" priority="54" operator="lessThanOrEqual">
      <formula>0</formula>
    </cfRule>
    <cfRule type="cellIs" dxfId="196" priority="53" operator="greaterThan">
      <formula>0</formula>
    </cfRule>
  </conditionalFormatting>
  <conditionalFormatting sqref="I68">
    <cfRule type="cellIs" dxfId="195" priority="107" operator="lessThanOrEqual">
      <formula>0</formula>
    </cfRule>
    <cfRule type="cellIs" dxfId="194" priority="106" operator="greaterThan">
      <formula>0</formula>
    </cfRule>
  </conditionalFormatting>
  <conditionalFormatting sqref="I72:I83">
    <cfRule type="cellIs" dxfId="193" priority="51" operator="greaterThan">
      <formula>0</formula>
    </cfRule>
    <cfRule type="cellIs" dxfId="192" priority="52" operator="lessThanOrEqual">
      <formula>0</formula>
    </cfRule>
  </conditionalFormatting>
  <conditionalFormatting sqref="I85">
    <cfRule type="cellIs" dxfId="191" priority="104" operator="greaterThan">
      <formula>0</formula>
    </cfRule>
    <cfRule type="cellIs" dxfId="190" priority="105" operator="lessThanOrEqual">
      <formula>0</formula>
    </cfRule>
  </conditionalFormatting>
  <conditionalFormatting sqref="I89:I92">
    <cfRule type="cellIs" dxfId="189" priority="49" operator="greaterThan">
      <formula>0</formula>
    </cfRule>
    <cfRule type="cellIs" dxfId="188" priority="50" operator="lessThanOrEqual">
      <formula>0</formula>
    </cfRule>
  </conditionalFormatting>
  <conditionalFormatting sqref="I94">
    <cfRule type="cellIs" dxfId="187" priority="102" operator="greaterThan">
      <formula>0</formula>
    </cfRule>
    <cfRule type="cellIs" dxfId="186" priority="103" operator="lessThanOrEqual">
      <formula>0</formula>
    </cfRule>
  </conditionalFormatting>
  <conditionalFormatting sqref="I98:I104">
    <cfRule type="cellIs" dxfId="185" priority="48" operator="lessThanOrEqual">
      <formula>0</formula>
    </cfRule>
    <cfRule type="cellIs" dxfId="184" priority="47" operator="greaterThan">
      <formula>0</formula>
    </cfRule>
  </conditionalFormatting>
  <conditionalFormatting sqref="I106">
    <cfRule type="cellIs" dxfId="183" priority="100" operator="greaterThan">
      <formula>0</formula>
    </cfRule>
    <cfRule type="cellIs" dxfId="182" priority="101" operator="lessThanOrEqual">
      <formula>0</formula>
    </cfRule>
  </conditionalFormatting>
  <conditionalFormatting sqref="I110:I119">
    <cfRule type="cellIs" dxfId="181" priority="45" operator="greaterThan">
      <formula>0</formula>
    </cfRule>
    <cfRule type="cellIs" dxfId="180" priority="46" operator="lessThanOrEqual">
      <formula>0</formula>
    </cfRule>
  </conditionalFormatting>
  <conditionalFormatting sqref="I121">
    <cfRule type="cellIs" dxfId="179" priority="23" operator="greaterThan">
      <formula>0</formula>
    </cfRule>
    <cfRule type="cellIs" dxfId="178" priority="24" operator="lessThanOrEqual">
      <formula>0</formula>
    </cfRule>
  </conditionalFormatting>
  <conditionalFormatting sqref="I123">
    <cfRule type="cellIs" dxfId="177" priority="25" operator="greaterThan">
      <formula>0</formula>
    </cfRule>
    <cfRule type="cellIs" dxfId="176" priority="26" operator="lessThanOrEqual">
      <formula>0</formula>
    </cfRule>
  </conditionalFormatting>
  <conditionalFormatting sqref="I126:I128">
    <cfRule type="cellIs" dxfId="175" priority="44" operator="lessThanOrEqual">
      <formula>0</formula>
    </cfRule>
    <cfRule type="cellIs" dxfId="174" priority="43" operator="greaterThan">
      <formula>0</formula>
    </cfRule>
  </conditionalFormatting>
  <conditionalFormatting sqref="I130">
    <cfRule type="cellIs" dxfId="173" priority="41" operator="greaterThan">
      <formula>0</formula>
    </cfRule>
    <cfRule type="cellIs" dxfId="172" priority="42" operator="lessThanOrEqual">
      <formula>0</formula>
    </cfRule>
  </conditionalFormatting>
  <conditionalFormatting sqref="I132">
    <cfRule type="cellIs" dxfId="171" priority="98" operator="greaterThan">
      <formula>0</formula>
    </cfRule>
    <cfRule type="cellIs" dxfId="170" priority="99" operator="lessThanOrEqual">
      <formula>0</formula>
    </cfRule>
  </conditionalFormatting>
  <conditionalFormatting sqref="I136:I145">
    <cfRule type="cellIs" dxfId="169" priority="39" operator="greaterThan">
      <formula>0</formula>
    </cfRule>
    <cfRule type="cellIs" dxfId="168" priority="40" operator="lessThanOrEqual">
      <formula>0</formula>
    </cfRule>
  </conditionalFormatting>
  <conditionalFormatting sqref="I147">
    <cfRule type="cellIs" dxfId="167" priority="96" operator="greaterThan">
      <formula>0</formula>
    </cfRule>
    <cfRule type="cellIs" dxfId="166" priority="97" operator="lessThanOrEqual">
      <formula>0</formula>
    </cfRule>
  </conditionalFormatting>
  <conditionalFormatting sqref="I151:I153">
    <cfRule type="cellIs" dxfId="165" priority="19" operator="greaterThan">
      <formula>0</formula>
    </cfRule>
    <cfRule type="cellIs" dxfId="164" priority="20" operator="lessThanOrEqual">
      <formula>0</formula>
    </cfRule>
  </conditionalFormatting>
  <conditionalFormatting sqref="I155">
    <cfRule type="cellIs" dxfId="163" priority="18" operator="lessThanOrEqual">
      <formula>0</formula>
    </cfRule>
    <cfRule type="cellIs" dxfId="162" priority="17" operator="greaterThan">
      <formula>0</formula>
    </cfRule>
  </conditionalFormatting>
  <conditionalFormatting sqref="I157">
    <cfRule type="cellIs" dxfId="161" priority="22" operator="lessThanOrEqual">
      <formula>0</formula>
    </cfRule>
    <cfRule type="cellIs" dxfId="160" priority="21" operator="greaterThan">
      <formula>0</formula>
    </cfRule>
  </conditionalFormatting>
  <conditionalFormatting sqref="I160">
    <cfRule type="cellIs" dxfId="159" priority="94" operator="greaterThan">
      <formula>0</formula>
    </cfRule>
    <cfRule type="cellIs" dxfId="158" priority="95" operator="lessThanOrEqual">
      <formula>0</formula>
    </cfRule>
  </conditionalFormatting>
  <conditionalFormatting sqref="I166:I170">
    <cfRule type="cellIs" dxfId="157" priority="37" operator="greaterThan">
      <formula>0</formula>
    </cfRule>
    <cfRule type="cellIs" dxfId="156" priority="38" operator="lessThanOrEqual">
      <formula>0</formula>
    </cfRule>
  </conditionalFormatting>
  <conditionalFormatting sqref="I173:I177">
    <cfRule type="cellIs" dxfId="155" priority="36" operator="lessThanOrEqual">
      <formula>0</formula>
    </cfRule>
    <cfRule type="cellIs" dxfId="154" priority="35" operator="greaterThan">
      <formula>0</formula>
    </cfRule>
  </conditionalFormatting>
  <conditionalFormatting sqref="I180:I182">
    <cfRule type="cellIs" dxfId="153" priority="34" operator="lessThanOrEqual">
      <formula>0</formula>
    </cfRule>
    <cfRule type="cellIs" dxfId="152" priority="33" operator="greaterThan">
      <formula>0</formula>
    </cfRule>
  </conditionalFormatting>
  <conditionalFormatting sqref="I185:I188">
    <cfRule type="cellIs" dxfId="151" priority="31" operator="greaterThan">
      <formula>0</formula>
    </cfRule>
    <cfRule type="cellIs" dxfId="150" priority="32" operator="lessThanOrEqual">
      <formula>0</formula>
    </cfRule>
  </conditionalFormatting>
  <conditionalFormatting sqref="I191:I195">
    <cfRule type="cellIs" dxfId="149" priority="30" operator="lessThanOrEqual">
      <formula>0</formula>
    </cfRule>
    <cfRule type="cellIs" dxfId="148" priority="29" operator="greaterThan">
      <formula>0</formula>
    </cfRule>
  </conditionalFormatting>
  <conditionalFormatting sqref="I197">
    <cfRule type="cellIs" dxfId="147" priority="28" operator="lessThanOrEqual">
      <formula>0</formula>
    </cfRule>
    <cfRule type="cellIs" dxfId="146" priority="27" operator="greaterThan">
      <formula>0</formula>
    </cfRule>
  </conditionalFormatting>
  <conditionalFormatting sqref="I199">
    <cfRule type="cellIs" dxfId="145" priority="93" operator="lessThanOrEqual">
      <formula>0</formula>
    </cfRule>
    <cfRule type="cellIs" dxfId="144" priority="92" operator="greaterThan">
      <formula>0</formula>
    </cfRule>
  </conditionalFormatting>
  <conditionalFormatting sqref="I216">
    <cfRule type="cellIs" dxfId="143" priority="83" operator="lessThanOrEqual">
      <formula>0</formula>
    </cfRule>
    <cfRule type="cellIs" dxfId="142" priority="84" operator="greaterThan">
      <formula>0</formula>
    </cfRule>
  </conditionalFormatting>
  <conditionalFormatting sqref="I228:I229">
    <cfRule type="cellIs" dxfId="141" priority="90" operator="greaterThan">
      <formula>0</formula>
    </cfRule>
    <cfRule type="cellIs" dxfId="140" priority="91" operator="lessThanOrEqual">
      <formula>0</formula>
    </cfRule>
  </conditionalFormatting>
  <conditionalFormatting sqref="I233">
    <cfRule type="cellIs" dxfId="139" priority="89" operator="lessThanOrEqual">
      <formula>0</formula>
    </cfRule>
    <cfRule type="cellIs" dxfId="138" priority="88" operator="greaterThan">
      <formula>0</formula>
    </cfRule>
  </conditionalFormatting>
  <conditionalFormatting sqref="I251:I252">
    <cfRule type="cellIs" dxfId="137" priority="75" operator="greaterThan">
      <formula>0</formula>
    </cfRule>
    <cfRule type="cellIs" dxfId="136" priority="76" operator="lessThanOrEqual">
      <formula>0</formula>
    </cfRule>
  </conditionalFormatting>
  <conditionalFormatting sqref="I256">
    <cfRule type="cellIs" dxfId="135" priority="16" operator="lessThanOrEqual">
      <formula>0</formula>
    </cfRule>
    <cfRule type="cellIs" dxfId="134" priority="15" operator="greaterThan">
      <formula>0</formula>
    </cfRule>
  </conditionalFormatting>
  <conditionalFormatting sqref="I262:I263">
    <cfRule type="cellIs" dxfId="133" priority="74" operator="lessThanOrEqual">
      <formula>0</formula>
    </cfRule>
    <cfRule type="cellIs" dxfId="132" priority="73" operator="greaterThan">
      <formula>0</formula>
    </cfRule>
  </conditionalFormatting>
  <conditionalFormatting sqref="I267">
    <cfRule type="cellIs" dxfId="131" priority="72" operator="lessThanOrEqual">
      <formula>0</formula>
    </cfRule>
    <cfRule type="cellIs" dxfId="130" priority="71" operator="greaterThan">
      <formula>0</formula>
    </cfRule>
  </conditionalFormatting>
  <conditionalFormatting sqref="I282">
    <cfRule type="cellIs" dxfId="129" priority="68" operator="lessThanOrEqual">
      <formula>0</formula>
    </cfRule>
    <cfRule type="cellIs" dxfId="128" priority="67" operator="greaterThan">
      <formula>0</formula>
    </cfRule>
  </conditionalFormatting>
  <conditionalFormatting sqref="I298">
    <cfRule type="cellIs" dxfId="127" priority="77" operator="greaterThan">
      <formula>0</formula>
    </cfRule>
    <cfRule type="cellIs" dxfId="126" priority="78" operator="lessThanOrEqual">
      <formula>0</formula>
    </cfRule>
  </conditionalFormatting>
  <conditionalFormatting sqref="I302">
    <cfRule type="cellIs" dxfId="125" priority="69" operator="greaterThan">
      <formula>0</formula>
    </cfRule>
    <cfRule type="cellIs" dxfId="124" priority="70" operator="lessThanOrEqual">
      <formula>0</formula>
    </cfRule>
  </conditionalFormatting>
  <conditionalFormatting sqref="I311">
    <cfRule type="cellIs" dxfId="123" priority="65" operator="greaterThan">
      <formula>0</formula>
    </cfRule>
    <cfRule type="cellIs" dxfId="122" priority="66" operator="lessThanOrEqual">
      <formula>0</formula>
    </cfRule>
  </conditionalFormatting>
  <conditionalFormatting sqref="J160">
    <cfRule type="cellIs" dxfId="121" priority="87" operator="notEqual">
      <formula>0</formula>
    </cfRule>
  </conditionalFormatting>
  <printOptions gridLines="1" gridLinesSet="0"/>
  <pageMargins left="0.79000000000000015" right="0.79000000000000015" top="0.98" bottom="0.98" header="0.51" footer="0.51"/>
  <pageSetup paperSize="9" orientation="portrait" horizontalDpi="4294967292" verticalDpi="4294967292"/>
  <headerFooter>
    <oddHeader>&amp;L&amp;K000000Client&amp;C&amp;K000000Show&amp;R&amp;K000000&amp;F</oddHeader>
    <oddFooter>&amp;LCalculation Boom&amp;C&amp;Pvan&amp;N&amp;R&amp;T/&amp;D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8AD0-6FC9-0F47-97F2-2C091D5D2650}">
  <sheetPr>
    <pageSetUpPr fitToPage="1"/>
  </sheetPr>
  <dimension ref="A1:L405"/>
  <sheetViews>
    <sheetView zoomScaleNormal="100" zoomScalePageLayoutView="125" workbookViewId="0">
      <pane ySplit="2" topLeftCell="A3" activePane="bottomLeft" state="frozen"/>
      <selection pane="bottomLeft" activeCell="N367" sqref="N367"/>
    </sheetView>
  </sheetViews>
  <sheetFormatPr defaultColWidth="10.875" defaultRowHeight="12.95"/>
  <cols>
    <col min="1" max="1" width="6.875" style="106" customWidth="1"/>
    <col min="2" max="2" width="50.875" style="146" customWidth="1"/>
    <col min="3" max="3" width="2.375" style="107" customWidth="1"/>
    <col min="4" max="6" width="14.875" style="107" customWidth="1"/>
    <col min="7" max="7" width="2.375" style="107" customWidth="1"/>
    <col min="8" max="8" width="17.875" style="107" customWidth="1"/>
    <col min="9" max="9" width="14.875" style="107" customWidth="1"/>
    <col min="10" max="10" width="12.5" style="107" customWidth="1"/>
    <col min="11" max="11" width="10.875" style="107"/>
    <col min="12" max="16384" width="10.875" style="146"/>
  </cols>
  <sheetData>
    <row r="1" spans="1:10">
      <c r="D1" s="65" t="s">
        <v>65</v>
      </c>
      <c r="E1" s="66">
        <v>1.3</v>
      </c>
      <c r="F1" s="147" t="s">
        <v>11</v>
      </c>
      <c r="G1" s="147"/>
      <c r="H1" s="148"/>
      <c r="I1" s="149"/>
      <c r="J1" s="149"/>
    </row>
    <row r="2" spans="1:10" ht="14.1" thickBot="1">
      <c r="A2" s="150"/>
      <c r="B2" s="68" t="s">
        <v>66</v>
      </c>
      <c r="C2" s="69"/>
      <c r="D2" s="69" t="s">
        <v>67</v>
      </c>
      <c r="E2" s="69" t="s">
        <v>29</v>
      </c>
      <c r="F2" s="69" t="s">
        <v>68</v>
      </c>
      <c r="G2" s="71"/>
      <c r="J2" s="151"/>
    </row>
    <row r="3" spans="1:10" ht="14.1" thickBot="1">
      <c r="B3" s="70"/>
      <c r="C3" s="71"/>
      <c r="D3" s="71"/>
      <c r="E3" s="71"/>
      <c r="F3" s="71"/>
      <c r="G3" s="71"/>
      <c r="H3" s="71"/>
      <c r="I3" s="71"/>
      <c r="J3" s="151"/>
    </row>
    <row r="4" spans="1:10">
      <c r="A4" s="152" t="s">
        <v>11</v>
      </c>
      <c r="B4" s="99" t="str">
        <f>'Budget show 4'!E4</f>
        <v>name</v>
      </c>
      <c r="C4" s="80"/>
      <c r="D4" s="219" t="s">
        <v>69</v>
      </c>
      <c r="E4" s="220" t="s">
        <v>70</v>
      </c>
      <c r="F4" s="221"/>
      <c r="G4" s="153"/>
      <c r="H4" s="71"/>
      <c r="I4" s="71"/>
      <c r="J4" s="151"/>
    </row>
    <row r="5" spans="1:10">
      <c r="A5" s="152"/>
      <c r="B5" s="100" t="str">
        <f>'Budget show 4'!E5</f>
        <v>show</v>
      </c>
      <c r="C5" s="80"/>
      <c r="D5" s="222" t="s">
        <v>71</v>
      </c>
      <c r="E5" s="223" t="s">
        <v>72</v>
      </c>
      <c r="F5" s="224"/>
      <c r="G5" s="153"/>
      <c r="H5" s="71"/>
      <c r="I5" s="71"/>
      <c r="J5" s="151"/>
    </row>
    <row r="6" spans="1:10">
      <c r="A6" s="152"/>
      <c r="B6" s="100" t="str">
        <f>'Budget show 4'!E6</f>
        <v>Month ##-##, 2025</v>
      </c>
      <c r="C6" s="80"/>
      <c r="H6" s="71"/>
      <c r="I6" s="71"/>
      <c r="J6" s="151"/>
    </row>
    <row r="7" spans="1:10">
      <c r="A7" s="152"/>
      <c r="B7" s="100" t="str">
        <f>'Budget show 4'!E7</f>
        <v>Place, Country</v>
      </c>
      <c r="C7" s="80"/>
      <c r="D7" s="71"/>
      <c r="E7" s="71"/>
      <c r="F7" s="71"/>
      <c r="G7" s="71"/>
      <c r="H7" s="71"/>
      <c r="I7" s="71"/>
      <c r="J7" s="151"/>
    </row>
    <row r="8" spans="1:10" ht="14.1" thickBot="1">
      <c r="A8" s="152"/>
      <c r="B8" s="101" t="str">
        <f>'Budget show 4'!E8</f>
        <v>Project nummer (Hubspot)</v>
      </c>
      <c r="C8" s="80"/>
      <c r="D8" s="71"/>
      <c r="E8" s="71"/>
      <c r="F8" s="71"/>
      <c r="G8" s="71"/>
      <c r="H8" s="71"/>
      <c r="I8" s="71"/>
      <c r="J8" s="151"/>
    </row>
    <row r="9" spans="1:10">
      <c r="A9" s="152"/>
      <c r="B9" s="72"/>
      <c r="C9" s="80"/>
      <c r="D9" s="102" t="s">
        <v>73</v>
      </c>
      <c r="E9" s="103" t="s">
        <v>74</v>
      </c>
      <c r="F9" s="104" t="s">
        <v>75</v>
      </c>
      <c r="G9" s="155"/>
      <c r="H9" s="104" t="s">
        <v>76</v>
      </c>
      <c r="I9" s="105" t="s">
        <v>77</v>
      </c>
      <c r="J9" s="151"/>
    </row>
    <row r="10" spans="1:10">
      <c r="A10" s="116">
        <f>'Budget show 4'!E10</f>
        <v>0</v>
      </c>
      <c r="B10" s="73" t="s">
        <v>78</v>
      </c>
      <c r="C10" s="80"/>
      <c r="D10" s="136" t="s">
        <v>79</v>
      </c>
      <c r="E10" s="124" t="str">
        <f>'Budget show 4'!E14</f>
        <v>-</v>
      </c>
      <c r="F10" s="113" t="s">
        <v>80</v>
      </c>
      <c r="G10" s="156"/>
      <c r="H10" s="114">
        <v>0</v>
      </c>
      <c r="I10" s="115">
        <f>A10-H10</f>
        <v>0</v>
      </c>
      <c r="J10" s="151"/>
    </row>
    <row r="11" spans="1:10">
      <c r="B11" s="70"/>
      <c r="C11" s="80"/>
      <c r="H11" s="71"/>
      <c r="I11" s="71"/>
      <c r="J11" s="151"/>
    </row>
    <row r="12" spans="1:10">
      <c r="B12" s="157" t="s">
        <v>81</v>
      </c>
      <c r="C12" s="80"/>
    </row>
    <row r="13" spans="1:10">
      <c r="B13" s="72"/>
      <c r="C13" s="80"/>
    </row>
    <row r="14" spans="1:10">
      <c r="B14" s="73" t="s">
        <v>82</v>
      </c>
      <c r="C14" s="80"/>
      <c r="H14" s="293" t="s">
        <v>83</v>
      </c>
      <c r="I14" s="293" t="s">
        <v>77</v>
      </c>
    </row>
    <row r="15" spans="1:10">
      <c r="A15" s="153">
        <v>0</v>
      </c>
      <c r="B15" s="225" t="s">
        <v>84</v>
      </c>
      <c r="C15" s="80"/>
      <c r="D15" s="226">
        <v>0</v>
      </c>
      <c r="E15" s="328">
        <f t="shared" ref="E15:E22" si="0">F15-D15</f>
        <v>0</v>
      </c>
      <c r="F15" s="210">
        <f t="shared" ref="F15:F20" si="1">ROUNDUP((D15*fee/5),0)*5</f>
        <v>0</v>
      </c>
      <c r="G15" s="172"/>
      <c r="H15" s="294">
        <v>0</v>
      </c>
      <c r="I15" s="301">
        <f>F15-H15</f>
        <v>0</v>
      </c>
    </row>
    <row r="16" spans="1:10">
      <c r="A16" s="153">
        <v>0</v>
      </c>
      <c r="B16" s="227" t="s">
        <v>84</v>
      </c>
      <c r="C16" s="80"/>
      <c r="D16" s="228">
        <v>0</v>
      </c>
      <c r="E16" s="329">
        <f t="shared" si="0"/>
        <v>0</v>
      </c>
      <c r="F16" s="211">
        <f t="shared" si="1"/>
        <v>0</v>
      </c>
      <c r="G16" s="172"/>
      <c r="H16" s="249">
        <v>0</v>
      </c>
      <c r="I16" s="302">
        <f>F16-H16</f>
        <v>0</v>
      </c>
    </row>
    <row r="17" spans="1:11">
      <c r="A17" s="153">
        <v>0</v>
      </c>
      <c r="B17" s="227" t="s">
        <v>84</v>
      </c>
      <c r="C17" s="80"/>
      <c r="D17" s="228">
        <v>0</v>
      </c>
      <c r="E17" s="329">
        <f t="shared" si="0"/>
        <v>0</v>
      </c>
      <c r="F17" s="211">
        <f t="shared" si="1"/>
        <v>0</v>
      </c>
      <c r="G17" s="172"/>
      <c r="H17" s="249">
        <v>0</v>
      </c>
      <c r="I17" s="302">
        <f t="shared" ref="I17:I20" si="2">F17-H17</f>
        <v>0</v>
      </c>
    </row>
    <row r="18" spans="1:11">
      <c r="A18" s="153">
        <v>0</v>
      </c>
      <c r="B18" s="227" t="s">
        <v>84</v>
      </c>
      <c r="C18" s="80"/>
      <c r="D18" s="228">
        <v>0</v>
      </c>
      <c r="E18" s="329">
        <f t="shared" si="0"/>
        <v>0</v>
      </c>
      <c r="F18" s="211">
        <f t="shared" si="1"/>
        <v>0</v>
      </c>
      <c r="G18" s="172"/>
      <c r="H18" s="249">
        <v>0</v>
      </c>
      <c r="I18" s="302">
        <f t="shared" si="2"/>
        <v>0</v>
      </c>
    </row>
    <row r="19" spans="1:11">
      <c r="A19" s="153">
        <v>0</v>
      </c>
      <c r="B19" s="227" t="s">
        <v>84</v>
      </c>
      <c r="C19" s="80"/>
      <c r="D19" s="228">
        <v>0</v>
      </c>
      <c r="E19" s="329">
        <f t="shared" si="0"/>
        <v>0</v>
      </c>
      <c r="F19" s="211">
        <f t="shared" si="1"/>
        <v>0</v>
      </c>
      <c r="G19" s="172"/>
      <c r="H19" s="249">
        <v>0</v>
      </c>
      <c r="I19" s="302">
        <f t="shared" si="2"/>
        <v>0</v>
      </c>
    </row>
    <row r="20" spans="1:11">
      <c r="A20" s="106">
        <v>0</v>
      </c>
      <c r="B20" s="74" t="s">
        <v>84</v>
      </c>
      <c r="C20" s="80"/>
      <c r="D20" s="195">
        <v>0</v>
      </c>
      <c r="E20" s="329">
        <f t="shared" si="0"/>
        <v>0</v>
      </c>
      <c r="F20" s="211">
        <f t="shared" si="1"/>
        <v>0</v>
      </c>
      <c r="G20" s="172"/>
      <c r="H20" s="296">
        <v>0</v>
      </c>
      <c r="I20" s="303">
        <f t="shared" si="2"/>
        <v>0</v>
      </c>
    </row>
    <row r="21" spans="1:11">
      <c r="A21" s="153" t="s">
        <v>11</v>
      </c>
      <c r="B21" s="227" t="s">
        <v>11</v>
      </c>
      <c r="D21" s="162" t="s">
        <v>11</v>
      </c>
      <c r="E21" s="162" t="s">
        <v>11</v>
      </c>
      <c r="F21" s="162" t="s">
        <v>11</v>
      </c>
      <c r="G21" s="172"/>
      <c r="H21" s="85"/>
    </row>
    <row r="22" spans="1:11">
      <c r="A22" s="106">
        <v>0</v>
      </c>
      <c r="B22" s="117" t="s">
        <v>85</v>
      </c>
      <c r="D22" s="228">
        <v>0</v>
      </c>
      <c r="E22" s="211">
        <f t="shared" si="0"/>
        <v>0</v>
      </c>
      <c r="F22" s="195">
        <v>0</v>
      </c>
      <c r="G22" s="172"/>
      <c r="H22" s="310">
        <v>0</v>
      </c>
      <c r="I22" s="311">
        <f t="shared" ref="I22" si="3">F22-H22</f>
        <v>0</v>
      </c>
    </row>
    <row r="23" spans="1:11">
      <c r="A23" s="153" t="s">
        <v>11</v>
      </c>
      <c r="B23" s="227" t="s">
        <v>11</v>
      </c>
      <c r="D23" s="162" t="s">
        <v>11</v>
      </c>
      <c r="E23" s="162" t="s">
        <v>11</v>
      </c>
      <c r="F23" s="162" t="s">
        <v>11</v>
      </c>
      <c r="G23" s="172"/>
      <c r="H23" s="85"/>
    </row>
    <row r="24" spans="1:11">
      <c r="A24" s="106" t="s">
        <v>11</v>
      </c>
      <c r="B24" s="89" t="s">
        <v>11</v>
      </c>
      <c r="C24" s="107" t="s">
        <v>11</v>
      </c>
      <c r="D24" s="164" t="s">
        <v>11</v>
      </c>
      <c r="E24" s="162" t="s">
        <v>11</v>
      </c>
      <c r="F24" s="162" t="s">
        <v>11</v>
      </c>
      <c r="G24" s="172"/>
      <c r="I24" s="146"/>
    </row>
    <row r="25" spans="1:11">
      <c r="B25" s="97" t="str">
        <f>B14</f>
        <v>Floor</v>
      </c>
      <c r="C25" s="80"/>
      <c r="D25" s="212">
        <f>SUM(D15:D24)</f>
        <v>0</v>
      </c>
      <c r="E25" s="212">
        <f>SUM(E15:E24)</f>
        <v>0</v>
      </c>
      <c r="F25" s="179">
        <f>SUM(F15:F24)</f>
        <v>0</v>
      </c>
      <c r="G25" s="174"/>
      <c r="H25" s="315">
        <f>SUM(H15:H24)</f>
        <v>0</v>
      </c>
      <c r="I25" s="230">
        <f>F25-H25</f>
        <v>0</v>
      </c>
    </row>
    <row r="26" spans="1:11">
      <c r="B26" s="175" t="s">
        <v>11</v>
      </c>
      <c r="C26" s="80"/>
      <c r="D26" s="172"/>
      <c r="E26" s="172"/>
      <c r="F26" s="172"/>
      <c r="G26" s="172"/>
      <c r="K26" s="176" t="s">
        <v>11</v>
      </c>
    </row>
    <row r="27" spans="1:11">
      <c r="B27" s="175"/>
      <c r="C27" s="80"/>
      <c r="D27" s="172"/>
      <c r="E27" s="172"/>
      <c r="F27" s="172"/>
      <c r="G27" s="172"/>
    </row>
    <row r="28" spans="1:11">
      <c r="B28" s="73" t="s">
        <v>86</v>
      </c>
      <c r="C28" s="80"/>
      <c r="D28" s="172"/>
      <c r="E28" s="172"/>
      <c r="F28" s="335"/>
      <c r="G28" s="172"/>
      <c r="H28" s="293" t="s">
        <v>83</v>
      </c>
      <c r="I28" s="293" t="s">
        <v>77</v>
      </c>
    </row>
    <row r="29" spans="1:11">
      <c r="A29" s="153">
        <v>0</v>
      </c>
      <c r="B29" s="225" t="s">
        <v>84</v>
      </c>
      <c r="D29" s="170">
        <v>0</v>
      </c>
      <c r="E29" s="210">
        <f t="shared" ref="E29:E37" si="4">F29-D29</f>
        <v>0</v>
      </c>
      <c r="F29" s="211">
        <f t="shared" ref="F29:F37" si="5">ROUNDUP((D29*fee/5),0)*5</f>
        <v>0</v>
      </c>
      <c r="G29" s="172"/>
      <c r="H29" s="294">
        <v>0</v>
      </c>
      <c r="I29" s="301">
        <f>F29-H29</f>
        <v>0</v>
      </c>
    </row>
    <row r="30" spans="1:11">
      <c r="A30" s="153">
        <v>0</v>
      </c>
      <c r="B30" s="227" t="s">
        <v>84</v>
      </c>
      <c r="D30" s="173">
        <v>0</v>
      </c>
      <c r="E30" s="211">
        <f t="shared" si="4"/>
        <v>0</v>
      </c>
      <c r="F30" s="211">
        <f t="shared" si="5"/>
        <v>0</v>
      </c>
      <c r="G30" s="172"/>
      <c r="H30" s="249">
        <v>0</v>
      </c>
      <c r="I30" s="302">
        <f>F30-H30</f>
        <v>0</v>
      </c>
    </row>
    <row r="31" spans="1:11">
      <c r="A31" s="153">
        <v>0</v>
      </c>
      <c r="B31" s="227" t="s">
        <v>84</v>
      </c>
      <c r="D31" s="173">
        <v>0</v>
      </c>
      <c r="E31" s="211">
        <f t="shared" si="4"/>
        <v>0</v>
      </c>
      <c r="F31" s="211">
        <f t="shared" si="5"/>
        <v>0</v>
      </c>
      <c r="G31" s="172"/>
      <c r="H31" s="249">
        <v>0</v>
      </c>
      <c r="I31" s="302">
        <f t="shared" ref="I31:I37" si="6">F31-H31</f>
        <v>0</v>
      </c>
    </row>
    <row r="32" spans="1:11">
      <c r="A32" s="153">
        <v>0</v>
      </c>
      <c r="B32" s="227" t="s">
        <v>84</v>
      </c>
      <c r="D32" s="173">
        <v>0</v>
      </c>
      <c r="E32" s="211">
        <f t="shared" si="4"/>
        <v>0</v>
      </c>
      <c r="F32" s="211">
        <f t="shared" si="5"/>
        <v>0</v>
      </c>
      <c r="G32" s="172"/>
      <c r="H32" s="249">
        <v>0</v>
      </c>
      <c r="I32" s="302">
        <f t="shared" si="6"/>
        <v>0</v>
      </c>
    </row>
    <row r="33" spans="1:11">
      <c r="A33" s="153">
        <v>0</v>
      </c>
      <c r="B33" s="227" t="s">
        <v>84</v>
      </c>
      <c r="D33" s="173">
        <v>0</v>
      </c>
      <c r="E33" s="211">
        <f t="shared" si="4"/>
        <v>0</v>
      </c>
      <c r="F33" s="211">
        <f t="shared" si="5"/>
        <v>0</v>
      </c>
      <c r="G33" s="172"/>
      <c r="H33" s="249">
        <v>0</v>
      </c>
      <c r="I33" s="302">
        <f t="shared" si="6"/>
        <v>0</v>
      </c>
    </row>
    <row r="34" spans="1:11">
      <c r="A34" s="153">
        <v>0</v>
      </c>
      <c r="B34" s="227" t="s">
        <v>84</v>
      </c>
      <c r="D34" s="173">
        <v>0</v>
      </c>
      <c r="E34" s="211">
        <f t="shared" si="4"/>
        <v>0</v>
      </c>
      <c r="F34" s="211">
        <f t="shared" si="5"/>
        <v>0</v>
      </c>
      <c r="G34" s="172"/>
      <c r="H34" s="249">
        <v>0</v>
      </c>
      <c r="I34" s="302">
        <f t="shared" si="6"/>
        <v>0</v>
      </c>
    </row>
    <row r="35" spans="1:11">
      <c r="A35" s="153">
        <v>0</v>
      </c>
      <c r="B35" s="227" t="s">
        <v>84</v>
      </c>
      <c r="D35" s="173">
        <v>0</v>
      </c>
      <c r="E35" s="211">
        <f t="shared" si="4"/>
        <v>0</v>
      </c>
      <c r="F35" s="211">
        <f t="shared" si="5"/>
        <v>0</v>
      </c>
      <c r="G35" s="172"/>
      <c r="H35" s="249">
        <v>0</v>
      </c>
      <c r="I35" s="302">
        <f t="shared" si="6"/>
        <v>0</v>
      </c>
    </row>
    <row r="36" spans="1:11">
      <c r="A36" s="153">
        <v>0</v>
      </c>
      <c r="B36" s="227" t="s">
        <v>84</v>
      </c>
      <c r="D36" s="173">
        <v>0</v>
      </c>
      <c r="E36" s="211">
        <f t="shared" si="4"/>
        <v>0</v>
      </c>
      <c r="F36" s="211">
        <f t="shared" si="5"/>
        <v>0</v>
      </c>
      <c r="G36" s="172"/>
      <c r="H36" s="249">
        <v>0</v>
      </c>
      <c r="I36" s="302">
        <f t="shared" si="6"/>
        <v>0</v>
      </c>
    </row>
    <row r="37" spans="1:11">
      <c r="A37" s="153">
        <v>0</v>
      </c>
      <c r="B37" s="227" t="s">
        <v>84</v>
      </c>
      <c r="D37" s="173">
        <v>0</v>
      </c>
      <c r="E37" s="211">
        <f t="shared" si="4"/>
        <v>0</v>
      </c>
      <c r="F37" s="211">
        <f t="shared" si="5"/>
        <v>0</v>
      </c>
      <c r="G37" s="172"/>
      <c r="H37" s="296">
        <v>0</v>
      </c>
      <c r="I37" s="303">
        <f t="shared" si="6"/>
        <v>0</v>
      </c>
    </row>
    <row r="38" spans="1:11">
      <c r="A38" s="153" t="s">
        <v>11</v>
      </c>
      <c r="B38" s="227" t="s">
        <v>11</v>
      </c>
      <c r="D38" s="162" t="s">
        <v>11</v>
      </c>
      <c r="E38" s="162" t="s">
        <v>11</v>
      </c>
      <c r="F38" s="162" t="s">
        <v>11</v>
      </c>
      <c r="G38" s="172"/>
      <c r="H38" s="169"/>
    </row>
    <row r="39" spans="1:11">
      <c r="A39" s="106">
        <v>0</v>
      </c>
      <c r="B39" s="117" t="s">
        <v>85</v>
      </c>
      <c r="D39" s="228">
        <v>0</v>
      </c>
      <c r="E39" s="211">
        <f t="shared" ref="E39" si="7">F39-D39</f>
        <v>0</v>
      </c>
      <c r="F39" s="195">
        <v>0</v>
      </c>
      <c r="G39" s="172"/>
      <c r="H39" s="310">
        <v>0</v>
      </c>
      <c r="I39" s="311">
        <f t="shared" ref="I39" si="8">F39-H39</f>
        <v>0</v>
      </c>
    </row>
    <row r="40" spans="1:11">
      <c r="B40" s="89"/>
      <c r="D40" s="164"/>
      <c r="E40" s="164"/>
      <c r="F40" s="164"/>
      <c r="G40" s="172"/>
      <c r="I40" s="146"/>
    </row>
    <row r="41" spans="1:11">
      <c r="B41" s="97" t="str">
        <f>B28</f>
        <v>Walls</v>
      </c>
      <c r="C41" s="80"/>
      <c r="D41" s="213">
        <f>SUM(D29:D40)</f>
        <v>0</v>
      </c>
      <c r="E41" s="213">
        <f>SUM(E29:E40)</f>
        <v>0</v>
      </c>
      <c r="F41" s="182">
        <f>SUM(F29:F40)</f>
        <v>0</v>
      </c>
      <c r="G41" s="174"/>
      <c r="H41" s="315">
        <f>SUM(H29:H40)</f>
        <v>0</v>
      </c>
      <c r="I41" s="230">
        <f>F41-H41</f>
        <v>0</v>
      </c>
    </row>
    <row r="42" spans="1:11">
      <c r="B42" s="175" t="s">
        <v>11</v>
      </c>
      <c r="C42" s="80"/>
      <c r="D42" s="172"/>
      <c r="E42" s="172"/>
      <c r="F42" s="172"/>
      <c r="G42" s="172"/>
      <c r="J42" s="178" t="s">
        <v>11</v>
      </c>
      <c r="K42" s="176" t="s">
        <v>11</v>
      </c>
    </row>
    <row r="43" spans="1:11">
      <c r="B43" s="175"/>
      <c r="C43" s="80"/>
      <c r="D43" s="172"/>
      <c r="E43" s="172"/>
      <c r="F43" s="172"/>
      <c r="G43" s="172"/>
    </row>
    <row r="44" spans="1:11">
      <c r="B44" s="73" t="s">
        <v>87</v>
      </c>
      <c r="C44" s="80"/>
      <c r="D44" s="172"/>
      <c r="E44" s="172"/>
      <c r="F44" s="335"/>
      <c r="G44" s="172"/>
      <c r="H44" s="293" t="s">
        <v>83</v>
      </c>
      <c r="I44" s="293" t="s">
        <v>77</v>
      </c>
    </row>
    <row r="45" spans="1:11">
      <c r="A45" s="158">
        <v>0</v>
      </c>
      <c r="B45" s="159" t="s">
        <v>84</v>
      </c>
      <c r="C45" s="107" t="s">
        <v>11</v>
      </c>
      <c r="D45" s="170">
        <v>0</v>
      </c>
      <c r="E45" s="210">
        <f>F45-D45</f>
        <v>0</v>
      </c>
      <c r="F45" s="211">
        <f t="shared" ref="F45:F47" si="9">ROUNDUP((D45*fee/5),0)*5</f>
        <v>0</v>
      </c>
      <c r="G45" s="172"/>
      <c r="H45" s="294">
        <v>0</v>
      </c>
      <c r="I45" s="301">
        <f>F45-H45</f>
        <v>0</v>
      </c>
    </row>
    <row r="46" spans="1:11">
      <c r="A46" s="153">
        <v>0</v>
      </c>
      <c r="B46" s="227" t="s">
        <v>84</v>
      </c>
      <c r="D46" s="173">
        <v>0</v>
      </c>
      <c r="E46" s="211">
        <f t="shared" ref="E46:E47" si="10">F46-D46</f>
        <v>0</v>
      </c>
      <c r="F46" s="211">
        <f t="shared" si="9"/>
        <v>0</v>
      </c>
      <c r="G46" s="172"/>
      <c r="H46" s="249">
        <v>0</v>
      </c>
      <c r="I46" s="302">
        <f>F46-H46</f>
        <v>0</v>
      </c>
    </row>
    <row r="47" spans="1:11">
      <c r="A47" s="153">
        <v>0</v>
      </c>
      <c r="B47" s="227" t="s">
        <v>84</v>
      </c>
      <c r="D47" s="173">
        <v>0</v>
      </c>
      <c r="E47" s="211">
        <f t="shared" si="10"/>
        <v>0</v>
      </c>
      <c r="F47" s="211">
        <f t="shared" si="9"/>
        <v>0</v>
      </c>
      <c r="G47" s="172"/>
      <c r="H47" s="249">
        <v>0</v>
      </c>
      <c r="I47" s="302">
        <f t="shared" ref="I47" si="11">F47-H47</f>
        <v>0</v>
      </c>
    </row>
    <row r="48" spans="1:11">
      <c r="B48" s="74"/>
      <c r="D48" s="164"/>
      <c r="E48" s="164"/>
      <c r="F48" s="164"/>
      <c r="G48" s="172"/>
    </row>
    <row r="49" spans="1:11">
      <c r="B49" s="97" t="str">
        <f>B44</f>
        <v>Rigging</v>
      </c>
      <c r="C49" s="80"/>
      <c r="D49" s="212">
        <f>SUM(D45:D48)</f>
        <v>0</v>
      </c>
      <c r="E49" s="212">
        <f>SUM(E45:E48)</f>
        <v>0</v>
      </c>
      <c r="F49" s="179">
        <f>SUM(F45:F48)</f>
        <v>0</v>
      </c>
      <c r="G49" s="174"/>
      <c r="H49" s="315">
        <f>SUM(H45:H48)</f>
        <v>0</v>
      </c>
      <c r="I49" s="230">
        <f>F49-H49</f>
        <v>0</v>
      </c>
      <c r="J49" s="178" t="s">
        <v>11</v>
      </c>
      <c r="K49" s="176" t="s">
        <v>11</v>
      </c>
    </row>
    <row r="50" spans="1:11">
      <c r="B50" s="175"/>
      <c r="C50" s="80"/>
      <c r="D50" s="172"/>
      <c r="E50" s="172"/>
      <c r="F50" s="172"/>
      <c r="G50" s="172"/>
    </row>
    <row r="51" spans="1:11">
      <c r="B51" s="175"/>
      <c r="C51" s="80"/>
      <c r="D51" s="172"/>
      <c r="E51" s="172"/>
      <c r="F51" s="172"/>
      <c r="G51" s="172"/>
    </row>
    <row r="52" spans="1:11">
      <c r="B52" s="73" t="s">
        <v>88</v>
      </c>
      <c r="C52" s="80"/>
      <c r="D52" s="172"/>
      <c r="E52" s="172"/>
      <c r="F52" s="335"/>
      <c r="G52" s="172"/>
      <c r="H52" s="293" t="s">
        <v>83</v>
      </c>
      <c r="I52" s="293" t="s">
        <v>77</v>
      </c>
    </row>
    <row r="53" spans="1:11">
      <c r="A53" s="153">
        <v>0</v>
      </c>
      <c r="B53" s="225" t="s">
        <v>84</v>
      </c>
      <c r="D53" s="170">
        <v>0</v>
      </c>
      <c r="E53" s="210">
        <f>F53-D53</f>
        <v>0</v>
      </c>
      <c r="F53" s="211">
        <f t="shared" ref="F53:F66" si="12">ROUNDUP((D53*fee/5),0)*5</f>
        <v>0</v>
      </c>
      <c r="G53" s="172"/>
      <c r="H53" s="294">
        <v>0</v>
      </c>
      <c r="I53" s="301">
        <f>F53-H53</f>
        <v>0</v>
      </c>
    </row>
    <row r="54" spans="1:11">
      <c r="A54" s="153">
        <v>0</v>
      </c>
      <c r="B54" s="227" t="s">
        <v>84</v>
      </c>
      <c r="D54" s="173">
        <v>0</v>
      </c>
      <c r="E54" s="211">
        <f>F54-D54</f>
        <v>0</v>
      </c>
      <c r="F54" s="211">
        <f t="shared" si="12"/>
        <v>0</v>
      </c>
      <c r="G54" s="172"/>
      <c r="H54" s="249">
        <v>0</v>
      </c>
      <c r="I54" s="302">
        <f>F54-H54</f>
        <v>0</v>
      </c>
    </row>
    <row r="55" spans="1:11">
      <c r="A55" s="153">
        <v>0</v>
      </c>
      <c r="B55" s="227" t="s">
        <v>84</v>
      </c>
      <c r="D55" s="173">
        <v>0</v>
      </c>
      <c r="E55" s="211">
        <f>F55-D55</f>
        <v>0</v>
      </c>
      <c r="F55" s="211">
        <f t="shared" si="12"/>
        <v>0</v>
      </c>
      <c r="G55" s="172"/>
      <c r="H55" s="249">
        <v>0</v>
      </c>
      <c r="I55" s="302">
        <f t="shared" ref="I55:I64" si="13">F55-H55</f>
        <v>0</v>
      </c>
    </row>
    <row r="56" spans="1:11">
      <c r="A56" s="153">
        <v>0</v>
      </c>
      <c r="B56" s="227" t="s">
        <v>84</v>
      </c>
      <c r="D56" s="173">
        <v>0</v>
      </c>
      <c r="E56" s="211">
        <f t="shared" ref="E56:E66" si="14">F56-D56</f>
        <v>0</v>
      </c>
      <c r="F56" s="211">
        <f t="shared" si="12"/>
        <v>0</v>
      </c>
      <c r="G56" s="172"/>
      <c r="H56" s="249">
        <v>0</v>
      </c>
      <c r="I56" s="302">
        <f t="shared" si="13"/>
        <v>0</v>
      </c>
    </row>
    <row r="57" spans="1:11">
      <c r="A57" s="153">
        <v>0</v>
      </c>
      <c r="B57" s="227" t="s">
        <v>84</v>
      </c>
      <c r="D57" s="173">
        <v>0</v>
      </c>
      <c r="E57" s="211">
        <f t="shared" si="14"/>
        <v>0</v>
      </c>
      <c r="F57" s="211">
        <f t="shared" si="12"/>
        <v>0</v>
      </c>
      <c r="G57" s="172"/>
      <c r="H57" s="249">
        <v>0</v>
      </c>
      <c r="I57" s="302">
        <f t="shared" si="13"/>
        <v>0</v>
      </c>
    </row>
    <row r="58" spans="1:11">
      <c r="A58" s="153">
        <v>0</v>
      </c>
      <c r="B58" s="227" t="s">
        <v>84</v>
      </c>
      <c r="D58" s="173">
        <v>0</v>
      </c>
      <c r="E58" s="211">
        <f t="shared" si="14"/>
        <v>0</v>
      </c>
      <c r="F58" s="211">
        <f t="shared" si="12"/>
        <v>0</v>
      </c>
      <c r="G58" s="172"/>
      <c r="H58" s="249">
        <v>0</v>
      </c>
      <c r="I58" s="302">
        <f t="shared" si="13"/>
        <v>0</v>
      </c>
    </row>
    <row r="59" spans="1:11">
      <c r="A59" s="153">
        <v>0</v>
      </c>
      <c r="B59" s="227" t="s">
        <v>84</v>
      </c>
      <c r="D59" s="173">
        <v>0</v>
      </c>
      <c r="E59" s="211">
        <f t="shared" si="14"/>
        <v>0</v>
      </c>
      <c r="F59" s="211">
        <f t="shared" si="12"/>
        <v>0</v>
      </c>
      <c r="G59" s="172"/>
      <c r="H59" s="249">
        <v>0</v>
      </c>
      <c r="I59" s="302">
        <f t="shared" si="13"/>
        <v>0</v>
      </c>
    </row>
    <row r="60" spans="1:11">
      <c r="A60" s="153">
        <v>0</v>
      </c>
      <c r="B60" s="227" t="s">
        <v>84</v>
      </c>
      <c r="D60" s="173">
        <v>0</v>
      </c>
      <c r="E60" s="211">
        <f t="shared" si="14"/>
        <v>0</v>
      </c>
      <c r="F60" s="211">
        <f t="shared" si="12"/>
        <v>0</v>
      </c>
      <c r="G60" s="172"/>
      <c r="H60" s="249">
        <v>0</v>
      </c>
      <c r="I60" s="302">
        <f t="shared" si="13"/>
        <v>0</v>
      </c>
    </row>
    <row r="61" spans="1:11">
      <c r="A61" s="153">
        <v>0</v>
      </c>
      <c r="B61" s="227" t="s">
        <v>84</v>
      </c>
      <c r="D61" s="173">
        <v>0</v>
      </c>
      <c r="E61" s="211">
        <f t="shared" si="14"/>
        <v>0</v>
      </c>
      <c r="F61" s="211">
        <f t="shared" si="12"/>
        <v>0</v>
      </c>
      <c r="G61" s="172"/>
      <c r="H61" s="249">
        <v>0</v>
      </c>
      <c r="I61" s="302">
        <f t="shared" si="13"/>
        <v>0</v>
      </c>
    </row>
    <row r="62" spans="1:11">
      <c r="A62" s="153">
        <v>0</v>
      </c>
      <c r="B62" s="227" t="s">
        <v>84</v>
      </c>
      <c r="D62" s="173">
        <v>0</v>
      </c>
      <c r="E62" s="211">
        <f t="shared" si="14"/>
        <v>0</v>
      </c>
      <c r="F62" s="211">
        <f t="shared" si="12"/>
        <v>0</v>
      </c>
      <c r="G62" s="172"/>
      <c r="H62" s="249">
        <v>0</v>
      </c>
      <c r="I62" s="302">
        <f t="shared" si="13"/>
        <v>0</v>
      </c>
    </row>
    <row r="63" spans="1:11">
      <c r="A63" s="153">
        <v>0</v>
      </c>
      <c r="B63" s="227" t="s">
        <v>84</v>
      </c>
      <c r="D63" s="173">
        <v>0</v>
      </c>
      <c r="E63" s="211">
        <f t="shared" si="14"/>
        <v>0</v>
      </c>
      <c r="F63" s="211">
        <f t="shared" si="12"/>
        <v>0</v>
      </c>
      <c r="G63" s="172"/>
      <c r="H63" s="249">
        <v>0</v>
      </c>
      <c r="I63" s="302">
        <f t="shared" si="13"/>
        <v>0</v>
      </c>
    </row>
    <row r="64" spans="1:11">
      <c r="A64" s="153">
        <v>0</v>
      </c>
      <c r="B64" s="227" t="s">
        <v>84</v>
      </c>
      <c r="D64" s="173">
        <v>0</v>
      </c>
      <c r="E64" s="211">
        <f t="shared" si="14"/>
        <v>0</v>
      </c>
      <c r="F64" s="211">
        <f t="shared" si="12"/>
        <v>0</v>
      </c>
      <c r="G64" s="172"/>
      <c r="H64" s="249">
        <v>0</v>
      </c>
      <c r="I64" s="302">
        <f t="shared" si="13"/>
        <v>0</v>
      </c>
    </row>
    <row r="65" spans="1:11">
      <c r="A65" s="153">
        <v>0</v>
      </c>
      <c r="B65" s="227" t="s">
        <v>84</v>
      </c>
      <c r="D65" s="173">
        <v>0</v>
      </c>
      <c r="E65" s="211">
        <f t="shared" si="14"/>
        <v>0</v>
      </c>
      <c r="F65" s="211">
        <f t="shared" si="12"/>
        <v>0</v>
      </c>
      <c r="G65" s="172"/>
      <c r="H65" s="249">
        <v>0</v>
      </c>
      <c r="I65" s="302">
        <f>F65-H65</f>
        <v>0</v>
      </c>
    </row>
    <row r="66" spans="1:11">
      <c r="A66" s="153">
        <v>0</v>
      </c>
      <c r="B66" s="227" t="s">
        <v>84</v>
      </c>
      <c r="D66" s="173">
        <v>0</v>
      </c>
      <c r="E66" s="211">
        <f t="shared" si="14"/>
        <v>0</v>
      </c>
      <c r="F66" s="211">
        <f t="shared" si="12"/>
        <v>0</v>
      </c>
      <c r="G66" s="172"/>
      <c r="H66" s="249">
        <v>0</v>
      </c>
      <c r="I66" s="302">
        <f t="shared" ref="I66" si="15">F66-H66</f>
        <v>0</v>
      </c>
    </row>
    <row r="67" spans="1:11">
      <c r="B67" s="89"/>
      <c r="D67" s="164"/>
      <c r="E67" s="164"/>
      <c r="F67" s="164"/>
      <c r="G67" s="172"/>
    </row>
    <row r="68" spans="1:11">
      <c r="B68" s="97" t="str">
        <f>B52</f>
        <v>Pantry</v>
      </c>
      <c r="C68" s="80"/>
      <c r="D68" s="212">
        <f>SUM(D53:D66)</f>
        <v>0</v>
      </c>
      <c r="E68" s="212">
        <f>SUM(E53:E66)</f>
        <v>0</v>
      </c>
      <c r="F68" s="179">
        <f>SUM(F53:F66)</f>
        <v>0</v>
      </c>
      <c r="G68" s="174"/>
      <c r="H68" s="315">
        <f>SUM(H53:H67)</f>
        <v>0</v>
      </c>
      <c r="I68" s="230">
        <f>F68-H68</f>
        <v>0</v>
      </c>
    </row>
    <row r="69" spans="1:11">
      <c r="B69" s="175" t="s">
        <v>11</v>
      </c>
      <c r="C69" s="80"/>
      <c r="D69" s="172"/>
      <c r="E69" s="172"/>
      <c r="F69" s="172"/>
      <c r="G69" s="172"/>
      <c r="J69" s="178" t="s">
        <v>11</v>
      </c>
      <c r="K69" s="176" t="s">
        <v>11</v>
      </c>
    </row>
    <row r="70" spans="1:11">
      <c r="B70" s="175"/>
      <c r="C70" s="80"/>
      <c r="D70" s="172"/>
      <c r="E70" s="172"/>
      <c r="F70" s="172"/>
      <c r="G70" s="172"/>
    </row>
    <row r="71" spans="1:11">
      <c r="B71" s="73" t="s">
        <v>89</v>
      </c>
      <c r="C71" s="80"/>
      <c r="D71" s="172"/>
      <c r="E71" s="172"/>
      <c r="F71" s="335"/>
      <c r="G71" s="172"/>
      <c r="H71" s="293" t="s">
        <v>83</v>
      </c>
      <c r="I71" s="293" t="s">
        <v>77</v>
      </c>
    </row>
    <row r="72" spans="1:11">
      <c r="A72" s="106">
        <v>0</v>
      </c>
      <c r="B72" s="227" t="s">
        <v>84</v>
      </c>
      <c r="D72" s="170">
        <v>0</v>
      </c>
      <c r="E72" s="210">
        <f t="shared" ref="E72:E83" si="16">F72-D72</f>
        <v>0</v>
      </c>
      <c r="F72" s="211">
        <f t="shared" ref="F72:F83" si="17">ROUNDUP((D72*fee/5),0)*5</f>
        <v>0</v>
      </c>
      <c r="G72" s="172"/>
      <c r="H72" s="294">
        <v>0</v>
      </c>
      <c r="I72" s="301">
        <f>F72-H72</f>
        <v>0</v>
      </c>
    </row>
    <row r="73" spans="1:11">
      <c r="A73" s="106">
        <v>0</v>
      </c>
      <c r="B73" s="227" t="s">
        <v>84</v>
      </c>
      <c r="D73" s="173">
        <v>0</v>
      </c>
      <c r="E73" s="211">
        <f t="shared" si="16"/>
        <v>0</v>
      </c>
      <c r="F73" s="211">
        <f t="shared" si="17"/>
        <v>0</v>
      </c>
      <c r="G73" s="172"/>
      <c r="H73" s="249">
        <v>0</v>
      </c>
      <c r="I73" s="302">
        <f>F73-H73</f>
        <v>0</v>
      </c>
    </row>
    <row r="74" spans="1:11">
      <c r="A74" s="106">
        <v>0</v>
      </c>
      <c r="B74" s="227" t="s">
        <v>84</v>
      </c>
      <c r="D74" s="173">
        <v>0</v>
      </c>
      <c r="E74" s="211">
        <f t="shared" si="16"/>
        <v>0</v>
      </c>
      <c r="F74" s="211">
        <f t="shared" si="17"/>
        <v>0</v>
      </c>
      <c r="G74" s="172"/>
      <c r="H74" s="249">
        <v>0</v>
      </c>
      <c r="I74" s="302">
        <f t="shared" ref="I74:I77" si="18">F74-H74</f>
        <v>0</v>
      </c>
    </row>
    <row r="75" spans="1:11">
      <c r="A75" s="106">
        <v>0</v>
      </c>
      <c r="B75" s="227" t="s">
        <v>84</v>
      </c>
      <c r="D75" s="173">
        <v>0</v>
      </c>
      <c r="E75" s="211">
        <f t="shared" si="16"/>
        <v>0</v>
      </c>
      <c r="F75" s="211">
        <f t="shared" si="17"/>
        <v>0</v>
      </c>
      <c r="G75" s="172"/>
      <c r="H75" s="249">
        <v>0</v>
      </c>
      <c r="I75" s="302">
        <f t="shared" si="18"/>
        <v>0</v>
      </c>
    </row>
    <row r="76" spans="1:11">
      <c r="A76" s="106">
        <v>0</v>
      </c>
      <c r="B76" s="227" t="s">
        <v>84</v>
      </c>
      <c r="D76" s="173">
        <v>0</v>
      </c>
      <c r="E76" s="211">
        <f t="shared" si="16"/>
        <v>0</v>
      </c>
      <c r="F76" s="211">
        <f t="shared" si="17"/>
        <v>0</v>
      </c>
      <c r="G76" s="172"/>
      <c r="H76" s="249">
        <v>0</v>
      </c>
      <c r="I76" s="302">
        <f t="shared" si="18"/>
        <v>0</v>
      </c>
    </row>
    <row r="77" spans="1:11">
      <c r="A77" s="106">
        <v>0</v>
      </c>
      <c r="B77" s="227" t="s">
        <v>84</v>
      </c>
      <c r="D77" s="173">
        <v>0</v>
      </c>
      <c r="E77" s="211">
        <f t="shared" si="16"/>
        <v>0</v>
      </c>
      <c r="F77" s="211">
        <f t="shared" si="17"/>
        <v>0</v>
      </c>
      <c r="G77" s="172"/>
      <c r="H77" s="249">
        <v>0</v>
      </c>
      <c r="I77" s="302">
        <f t="shared" si="18"/>
        <v>0</v>
      </c>
    </row>
    <row r="78" spans="1:11">
      <c r="A78" s="106">
        <v>0</v>
      </c>
      <c r="B78" s="227" t="s">
        <v>84</v>
      </c>
      <c r="D78" s="173">
        <v>0</v>
      </c>
      <c r="E78" s="211">
        <f t="shared" si="16"/>
        <v>0</v>
      </c>
      <c r="F78" s="211">
        <f t="shared" si="17"/>
        <v>0</v>
      </c>
      <c r="G78" s="172"/>
      <c r="H78" s="249">
        <v>0</v>
      </c>
      <c r="I78" s="302">
        <f>F78-H78</f>
        <v>0</v>
      </c>
    </row>
    <row r="79" spans="1:11">
      <c r="A79" s="106">
        <v>0</v>
      </c>
      <c r="B79" s="227" t="s">
        <v>84</v>
      </c>
      <c r="D79" s="173">
        <v>0</v>
      </c>
      <c r="E79" s="211">
        <f t="shared" si="16"/>
        <v>0</v>
      </c>
      <c r="F79" s="211">
        <f t="shared" si="17"/>
        <v>0</v>
      </c>
      <c r="G79" s="172"/>
      <c r="H79" s="249">
        <v>0</v>
      </c>
      <c r="I79" s="302">
        <f t="shared" ref="I79:I83" si="19">F79-H79</f>
        <v>0</v>
      </c>
    </row>
    <row r="80" spans="1:11">
      <c r="A80" s="106">
        <v>0</v>
      </c>
      <c r="B80" s="227" t="s">
        <v>84</v>
      </c>
      <c r="D80" s="173">
        <v>0</v>
      </c>
      <c r="E80" s="211">
        <f t="shared" si="16"/>
        <v>0</v>
      </c>
      <c r="F80" s="211">
        <f t="shared" si="17"/>
        <v>0</v>
      </c>
      <c r="G80" s="172"/>
      <c r="H80" s="249">
        <v>0</v>
      </c>
      <c r="I80" s="302">
        <f t="shared" si="19"/>
        <v>0</v>
      </c>
    </row>
    <row r="81" spans="1:12">
      <c r="A81" s="106">
        <v>0</v>
      </c>
      <c r="B81" s="227" t="s">
        <v>84</v>
      </c>
      <c r="D81" s="173">
        <v>0</v>
      </c>
      <c r="E81" s="211">
        <f t="shared" si="16"/>
        <v>0</v>
      </c>
      <c r="F81" s="211">
        <f t="shared" si="17"/>
        <v>0</v>
      </c>
      <c r="G81" s="172"/>
      <c r="H81" s="249">
        <v>0</v>
      </c>
      <c r="I81" s="302">
        <f t="shared" si="19"/>
        <v>0</v>
      </c>
    </row>
    <row r="82" spans="1:12">
      <c r="A82" s="106">
        <v>0</v>
      </c>
      <c r="B82" s="227" t="s">
        <v>84</v>
      </c>
      <c r="D82" s="173">
        <v>0</v>
      </c>
      <c r="E82" s="211">
        <f t="shared" si="16"/>
        <v>0</v>
      </c>
      <c r="F82" s="211">
        <f t="shared" si="17"/>
        <v>0</v>
      </c>
      <c r="G82" s="172"/>
      <c r="H82" s="249">
        <v>0</v>
      </c>
      <c r="I82" s="302">
        <f t="shared" si="19"/>
        <v>0</v>
      </c>
    </row>
    <row r="83" spans="1:12">
      <c r="A83" s="106">
        <v>0</v>
      </c>
      <c r="B83" s="227" t="s">
        <v>84</v>
      </c>
      <c r="D83" s="173">
        <v>0</v>
      </c>
      <c r="E83" s="211">
        <f t="shared" si="16"/>
        <v>0</v>
      </c>
      <c r="F83" s="211">
        <f t="shared" si="17"/>
        <v>0</v>
      </c>
      <c r="G83" s="172"/>
      <c r="H83" s="249">
        <v>0</v>
      </c>
      <c r="I83" s="302">
        <f t="shared" si="19"/>
        <v>0</v>
      </c>
    </row>
    <row r="84" spans="1:12">
      <c r="B84" s="89"/>
      <c r="D84" s="164"/>
      <c r="E84" s="164"/>
      <c r="F84" s="164"/>
      <c r="G84" s="172"/>
    </row>
    <row r="85" spans="1:12">
      <c r="B85" s="97" t="str">
        <f>B71</f>
        <v>Furniture</v>
      </c>
      <c r="C85" s="80"/>
      <c r="D85" s="212">
        <f>SUM(D72:D84)</f>
        <v>0</v>
      </c>
      <c r="E85" s="212">
        <f>SUM(E72:E84)</f>
        <v>0</v>
      </c>
      <c r="F85" s="179">
        <f>SUM(F72:F84)</f>
        <v>0</v>
      </c>
      <c r="G85" s="174"/>
      <c r="H85" s="315">
        <f>SUM(H72:H84)</f>
        <v>0</v>
      </c>
      <c r="I85" s="230">
        <f>F85-H85</f>
        <v>0</v>
      </c>
    </row>
    <row r="86" spans="1:12">
      <c r="B86" s="175" t="s">
        <v>11</v>
      </c>
      <c r="C86" s="80"/>
      <c r="D86" s="172"/>
      <c r="E86" s="172"/>
      <c r="F86" s="172"/>
      <c r="G86" s="172"/>
      <c r="J86" s="178" t="s">
        <v>11</v>
      </c>
      <c r="K86" s="176" t="s">
        <v>11</v>
      </c>
    </row>
    <row r="87" spans="1:12">
      <c r="B87" s="175"/>
      <c r="C87" s="80"/>
      <c r="D87" s="172"/>
      <c r="E87" s="172"/>
      <c r="F87" s="172"/>
      <c r="G87" s="172"/>
      <c r="J87" s="178"/>
      <c r="K87" s="176"/>
    </row>
    <row r="88" spans="1:12">
      <c r="B88" s="73" t="s">
        <v>90</v>
      </c>
      <c r="C88" s="80"/>
      <c r="D88" s="172"/>
      <c r="E88" s="172"/>
      <c r="F88" s="335"/>
      <c r="G88" s="172"/>
      <c r="H88" s="293" t="s">
        <v>83</v>
      </c>
      <c r="I88" s="293" t="s">
        <v>77</v>
      </c>
    </row>
    <row r="89" spans="1:12" s="107" customFormat="1">
      <c r="A89" s="158">
        <v>0</v>
      </c>
      <c r="B89" s="270" t="s">
        <v>84</v>
      </c>
      <c r="D89" s="108">
        <v>0</v>
      </c>
      <c r="E89" s="214">
        <f>F89-D89</f>
        <v>0</v>
      </c>
      <c r="F89" s="211">
        <f t="shared" ref="F89:F92" si="20">ROUNDUP((D89*fee/5),0)*5</f>
        <v>0</v>
      </c>
      <c r="G89" s="172"/>
      <c r="H89" s="294">
        <v>0</v>
      </c>
      <c r="I89" s="301">
        <f>F89-H89</f>
        <v>0</v>
      </c>
      <c r="L89" s="146"/>
    </row>
    <row r="90" spans="1:12" s="107" customFormat="1">
      <c r="A90" s="106">
        <v>0</v>
      </c>
      <c r="B90" s="271" t="s">
        <v>84</v>
      </c>
      <c r="D90" s="173">
        <v>0</v>
      </c>
      <c r="E90" s="215">
        <f>F90-D90</f>
        <v>0</v>
      </c>
      <c r="F90" s="211">
        <f t="shared" si="20"/>
        <v>0</v>
      </c>
      <c r="G90" s="172"/>
      <c r="H90" s="249">
        <v>0</v>
      </c>
      <c r="I90" s="302">
        <f>F90-H90</f>
        <v>0</v>
      </c>
      <c r="L90" s="146"/>
    </row>
    <row r="91" spans="1:12" s="107" customFormat="1">
      <c r="A91" s="106">
        <v>0</v>
      </c>
      <c r="B91" s="271" t="s">
        <v>84</v>
      </c>
      <c r="D91" s="173">
        <v>0</v>
      </c>
      <c r="E91" s="215">
        <f>F91-D91</f>
        <v>0</v>
      </c>
      <c r="F91" s="211">
        <f t="shared" si="20"/>
        <v>0</v>
      </c>
      <c r="G91" s="172"/>
      <c r="H91" s="249">
        <v>0</v>
      </c>
      <c r="I91" s="302">
        <f t="shared" ref="I91:I92" si="21">F91-H91</f>
        <v>0</v>
      </c>
      <c r="L91" s="146"/>
    </row>
    <row r="92" spans="1:12" s="107" customFormat="1">
      <c r="A92" s="106">
        <v>0</v>
      </c>
      <c r="B92" s="74" t="s">
        <v>84</v>
      </c>
      <c r="D92" s="173">
        <v>0</v>
      </c>
      <c r="E92" s="215">
        <f>F92-D92</f>
        <v>0</v>
      </c>
      <c r="F92" s="211">
        <f t="shared" si="20"/>
        <v>0</v>
      </c>
      <c r="G92" s="172"/>
      <c r="H92" s="249">
        <v>0</v>
      </c>
      <c r="I92" s="302">
        <f t="shared" si="21"/>
        <v>0</v>
      </c>
      <c r="L92" s="146"/>
    </row>
    <row r="93" spans="1:12" s="107" customFormat="1">
      <c r="A93" s="106" t="s">
        <v>11</v>
      </c>
      <c r="B93" s="74"/>
      <c r="D93" s="164"/>
      <c r="E93" s="231"/>
      <c r="F93" s="164"/>
      <c r="G93" s="172"/>
      <c r="L93" s="146"/>
    </row>
    <row r="94" spans="1:12" s="107" customFormat="1">
      <c r="A94" s="106"/>
      <c r="B94" s="97" t="str">
        <f>B88</f>
        <v>AV</v>
      </c>
      <c r="C94" s="80"/>
      <c r="D94" s="213">
        <f>SUM(D89:D93)</f>
        <v>0</v>
      </c>
      <c r="E94" s="212">
        <f>SUM(E89:E93)</f>
        <v>0</v>
      </c>
      <c r="F94" s="179">
        <f>SUM(F89:F93)</f>
        <v>0</v>
      </c>
      <c r="G94" s="174"/>
      <c r="H94" s="315">
        <f>SUM(H89:H93)</f>
        <v>0</v>
      </c>
      <c r="I94" s="230">
        <f>F94-H94</f>
        <v>0</v>
      </c>
      <c r="L94" s="146"/>
    </row>
    <row r="95" spans="1:12" s="107" customFormat="1">
      <c r="A95" s="106"/>
      <c r="B95" s="175"/>
      <c r="C95" s="80"/>
      <c r="D95" s="172"/>
      <c r="E95" s="172"/>
      <c r="F95" s="172"/>
      <c r="G95" s="172"/>
      <c r="L95" s="146"/>
    </row>
    <row r="96" spans="1:12" s="107" customFormat="1">
      <c r="A96" s="106"/>
      <c r="B96" s="175"/>
      <c r="C96" s="80"/>
      <c r="D96" s="172"/>
      <c r="E96" s="172"/>
      <c r="F96" s="172"/>
      <c r="G96" s="172"/>
      <c r="L96" s="146"/>
    </row>
    <row r="97" spans="1:12" s="107" customFormat="1">
      <c r="A97" s="106"/>
      <c r="B97" s="73" t="s">
        <v>91</v>
      </c>
      <c r="C97" s="80"/>
      <c r="D97" s="172"/>
      <c r="E97" s="172"/>
      <c r="F97" s="335"/>
      <c r="G97" s="172"/>
      <c r="H97" s="293" t="s">
        <v>83</v>
      </c>
      <c r="I97" s="293" t="s">
        <v>77</v>
      </c>
      <c r="L97" s="146"/>
    </row>
    <row r="98" spans="1:12" s="107" customFormat="1">
      <c r="A98" s="153">
        <v>0</v>
      </c>
      <c r="B98" s="225" t="s">
        <v>84</v>
      </c>
      <c r="C98" s="80"/>
      <c r="D98" s="170">
        <v>0</v>
      </c>
      <c r="E98" s="210">
        <f>F98-D98</f>
        <v>0</v>
      </c>
      <c r="F98" s="211">
        <f t="shared" ref="F98:F104" si="22">ROUNDUP((D98*fee/5),0)*5</f>
        <v>0</v>
      </c>
      <c r="G98" s="172"/>
      <c r="H98" s="294">
        <v>0</v>
      </c>
      <c r="I98" s="301">
        <f>F98-H98</f>
        <v>0</v>
      </c>
      <c r="L98" s="146"/>
    </row>
    <row r="99" spans="1:12" s="107" customFormat="1">
      <c r="A99" s="153">
        <v>0</v>
      </c>
      <c r="B99" s="227" t="s">
        <v>84</v>
      </c>
      <c r="C99" s="80"/>
      <c r="D99" s="173">
        <v>0</v>
      </c>
      <c r="E99" s="211">
        <f t="shared" ref="E99:E104" si="23">F99-D99</f>
        <v>0</v>
      </c>
      <c r="F99" s="211">
        <f t="shared" si="22"/>
        <v>0</v>
      </c>
      <c r="G99" s="172"/>
      <c r="H99" s="249">
        <v>0</v>
      </c>
      <c r="I99" s="302">
        <f>F99-H99</f>
        <v>0</v>
      </c>
      <c r="L99" s="146"/>
    </row>
    <row r="100" spans="1:12" s="107" customFormat="1">
      <c r="A100" s="153">
        <v>0</v>
      </c>
      <c r="B100" s="227" t="s">
        <v>84</v>
      </c>
      <c r="C100" s="80"/>
      <c r="D100" s="173">
        <v>0</v>
      </c>
      <c r="E100" s="211">
        <f t="shared" si="23"/>
        <v>0</v>
      </c>
      <c r="F100" s="211">
        <f t="shared" si="22"/>
        <v>0</v>
      </c>
      <c r="G100" s="172"/>
      <c r="H100" s="249">
        <v>0</v>
      </c>
      <c r="I100" s="302">
        <f t="shared" ref="I100:I101" si="24">F100-H100</f>
        <v>0</v>
      </c>
      <c r="L100" s="146"/>
    </row>
    <row r="101" spans="1:12" s="107" customFormat="1">
      <c r="A101" s="153">
        <v>0</v>
      </c>
      <c r="B101" s="227" t="s">
        <v>84</v>
      </c>
      <c r="C101" s="80"/>
      <c r="D101" s="173">
        <v>0</v>
      </c>
      <c r="E101" s="211">
        <f t="shared" si="23"/>
        <v>0</v>
      </c>
      <c r="F101" s="211">
        <f t="shared" si="22"/>
        <v>0</v>
      </c>
      <c r="G101" s="172"/>
      <c r="H101" s="195">
        <v>0</v>
      </c>
      <c r="I101" s="304">
        <f t="shared" si="24"/>
        <v>0</v>
      </c>
      <c r="L101" s="146"/>
    </row>
    <row r="102" spans="1:12" s="107" customFormat="1">
      <c r="A102" s="153">
        <v>0</v>
      </c>
      <c r="B102" s="227" t="s">
        <v>84</v>
      </c>
      <c r="C102" s="80"/>
      <c r="D102" s="173">
        <v>0</v>
      </c>
      <c r="E102" s="211">
        <f t="shared" si="23"/>
        <v>0</v>
      </c>
      <c r="F102" s="211">
        <f t="shared" si="22"/>
        <v>0</v>
      </c>
      <c r="G102" s="172"/>
      <c r="H102" s="249">
        <v>0</v>
      </c>
      <c r="I102" s="302">
        <f>F102-H102</f>
        <v>0</v>
      </c>
      <c r="L102" s="146"/>
    </row>
    <row r="103" spans="1:12" s="107" customFormat="1">
      <c r="A103" s="153">
        <v>0</v>
      </c>
      <c r="B103" s="227" t="s">
        <v>84</v>
      </c>
      <c r="C103" s="80"/>
      <c r="D103" s="173">
        <v>0</v>
      </c>
      <c r="E103" s="211">
        <f t="shared" si="23"/>
        <v>0</v>
      </c>
      <c r="F103" s="211">
        <f t="shared" si="22"/>
        <v>0</v>
      </c>
      <c r="G103" s="172"/>
      <c r="H103" s="249">
        <v>0</v>
      </c>
      <c r="I103" s="302">
        <f>F103-H103</f>
        <v>0</v>
      </c>
      <c r="L103" s="146"/>
    </row>
    <row r="104" spans="1:12" s="107" customFormat="1">
      <c r="A104" s="106">
        <v>0</v>
      </c>
      <c r="B104" s="74" t="s">
        <v>84</v>
      </c>
      <c r="C104" s="80"/>
      <c r="D104" s="173">
        <v>0</v>
      </c>
      <c r="E104" s="211">
        <f t="shared" si="23"/>
        <v>0</v>
      </c>
      <c r="F104" s="211">
        <f t="shared" si="22"/>
        <v>0</v>
      </c>
      <c r="G104" s="172"/>
      <c r="H104" s="249">
        <v>0</v>
      </c>
      <c r="I104" s="302">
        <f t="shared" ref="I104" si="25">F104-H104</f>
        <v>0</v>
      </c>
      <c r="L104" s="146"/>
    </row>
    <row r="105" spans="1:12" s="107" customFormat="1">
      <c r="A105" s="232"/>
      <c r="B105" s="233"/>
      <c r="C105" s="80"/>
      <c r="D105" s="164"/>
      <c r="E105" s="164"/>
      <c r="F105" s="164"/>
      <c r="G105" s="172"/>
      <c r="L105" s="146"/>
    </row>
    <row r="106" spans="1:12" s="107" customFormat="1">
      <c r="A106" s="106"/>
      <c r="B106" s="97" t="str">
        <f>B97</f>
        <v>Display</v>
      </c>
      <c r="C106" s="80"/>
      <c r="D106" s="212">
        <f>SUM(D98:D105)</f>
        <v>0</v>
      </c>
      <c r="E106" s="212">
        <f>SUM(E98:E105)</f>
        <v>0</v>
      </c>
      <c r="F106" s="179">
        <f>SUM(F98:F105)</f>
        <v>0</v>
      </c>
      <c r="G106" s="174"/>
      <c r="H106" s="315">
        <f>SUM(H98:H105)</f>
        <v>0</v>
      </c>
      <c r="I106" s="230">
        <f>F106-H106</f>
        <v>0</v>
      </c>
      <c r="L106" s="146"/>
    </row>
    <row r="107" spans="1:12" s="107" customFormat="1">
      <c r="A107" s="106"/>
      <c r="B107" s="175"/>
      <c r="C107" s="80"/>
      <c r="D107" s="172"/>
      <c r="E107" s="172"/>
      <c r="F107" s="172"/>
      <c r="G107" s="172"/>
      <c r="L107" s="146"/>
    </row>
    <row r="108" spans="1:12" s="107" customFormat="1">
      <c r="A108" s="106"/>
      <c r="B108" s="175"/>
      <c r="C108" s="80"/>
      <c r="D108" s="172"/>
      <c r="E108" s="172"/>
      <c r="F108" s="172"/>
      <c r="G108" s="172"/>
      <c r="L108" s="146"/>
    </row>
    <row r="109" spans="1:12">
      <c r="B109" s="73" t="s">
        <v>92</v>
      </c>
      <c r="C109" s="80"/>
      <c r="D109" s="172"/>
      <c r="E109" s="172"/>
      <c r="F109" s="335"/>
      <c r="G109" s="172"/>
      <c r="H109" s="293" t="s">
        <v>83</v>
      </c>
      <c r="I109" s="293" t="s">
        <v>77</v>
      </c>
      <c r="J109" s="153"/>
      <c r="K109" s="153"/>
      <c r="L109" s="153"/>
    </row>
    <row r="110" spans="1:12">
      <c r="A110" s="153">
        <v>0</v>
      </c>
      <c r="B110" s="87" t="s">
        <v>84</v>
      </c>
      <c r="D110" s="181">
        <v>0</v>
      </c>
      <c r="E110" s="210">
        <f>F110-D110</f>
        <v>0</v>
      </c>
      <c r="F110" s="211">
        <f t="shared" ref="F110:F119" si="26">ROUNDUP((D110*fee/5),0)*5</f>
        <v>0</v>
      </c>
      <c r="G110" s="172"/>
      <c r="H110" s="294">
        <v>0</v>
      </c>
      <c r="I110" s="301">
        <f>F110-H110</f>
        <v>0</v>
      </c>
      <c r="J110" s="153"/>
      <c r="K110" s="153"/>
      <c r="L110" s="153"/>
    </row>
    <row r="111" spans="1:12">
      <c r="A111" s="153">
        <v>0</v>
      </c>
      <c r="B111" s="74" t="s">
        <v>84</v>
      </c>
      <c r="D111" s="180">
        <v>0</v>
      </c>
      <c r="E111" s="211">
        <f>F111-D111</f>
        <v>0</v>
      </c>
      <c r="F111" s="211">
        <f t="shared" si="26"/>
        <v>0</v>
      </c>
      <c r="G111" s="172"/>
      <c r="H111" s="249">
        <v>0</v>
      </c>
      <c r="I111" s="302">
        <f>F111-H111</f>
        <v>0</v>
      </c>
      <c r="J111" s="153"/>
      <c r="K111" s="153"/>
      <c r="L111" s="153"/>
    </row>
    <row r="112" spans="1:12">
      <c r="A112" s="153">
        <v>0</v>
      </c>
      <c r="B112" s="74" t="s">
        <v>84</v>
      </c>
      <c r="D112" s="180">
        <v>0</v>
      </c>
      <c r="E112" s="211">
        <f t="shared" ref="E112:E119" si="27">F112-D112</f>
        <v>0</v>
      </c>
      <c r="F112" s="211">
        <f t="shared" si="26"/>
        <v>0</v>
      </c>
      <c r="G112" s="172"/>
      <c r="H112" s="249">
        <v>0</v>
      </c>
      <c r="I112" s="302">
        <f t="shared" ref="I112:I113" si="28">F112-H112</f>
        <v>0</v>
      </c>
      <c r="J112" s="153"/>
      <c r="K112" s="153"/>
      <c r="L112" s="153"/>
    </row>
    <row r="113" spans="1:12">
      <c r="A113" s="153">
        <v>0</v>
      </c>
      <c r="B113" s="74" t="s">
        <v>84</v>
      </c>
      <c r="D113" s="180">
        <v>0</v>
      </c>
      <c r="E113" s="211">
        <f t="shared" si="27"/>
        <v>0</v>
      </c>
      <c r="F113" s="211">
        <f t="shared" si="26"/>
        <v>0</v>
      </c>
      <c r="G113" s="172"/>
      <c r="H113" s="195">
        <v>0</v>
      </c>
      <c r="I113" s="304">
        <f t="shared" si="28"/>
        <v>0</v>
      </c>
      <c r="J113" s="153"/>
      <c r="K113" s="153"/>
      <c r="L113" s="153"/>
    </row>
    <row r="114" spans="1:12">
      <c r="A114" s="153">
        <v>0</v>
      </c>
      <c r="B114" s="74" t="s">
        <v>84</v>
      </c>
      <c r="D114" s="180">
        <v>0</v>
      </c>
      <c r="E114" s="211">
        <f t="shared" si="27"/>
        <v>0</v>
      </c>
      <c r="F114" s="211">
        <f t="shared" si="26"/>
        <v>0</v>
      </c>
      <c r="G114" s="172"/>
      <c r="H114" s="195">
        <v>0</v>
      </c>
      <c r="I114" s="304">
        <f>F114-H114</f>
        <v>0</v>
      </c>
      <c r="J114" s="153"/>
      <c r="K114" s="153"/>
      <c r="L114" s="153"/>
    </row>
    <row r="115" spans="1:12">
      <c r="A115" s="153">
        <v>0</v>
      </c>
      <c r="B115" s="74" t="s">
        <v>84</v>
      </c>
      <c r="D115" s="180">
        <v>0</v>
      </c>
      <c r="E115" s="211">
        <f t="shared" si="27"/>
        <v>0</v>
      </c>
      <c r="F115" s="211">
        <f t="shared" si="26"/>
        <v>0</v>
      </c>
      <c r="G115" s="172"/>
      <c r="H115" s="195">
        <v>0</v>
      </c>
      <c r="I115" s="304">
        <f>F115-H115</f>
        <v>0</v>
      </c>
      <c r="J115" s="153"/>
      <c r="K115" s="153"/>
      <c r="L115" s="153"/>
    </row>
    <row r="116" spans="1:12">
      <c r="A116" s="153">
        <v>0</v>
      </c>
      <c r="B116" s="74" t="s">
        <v>84</v>
      </c>
      <c r="D116" s="180">
        <v>0</v>
      </c>
      <c r="E116" s="211">
        <f t="shared" si="27"/>
        <v>0</v>
      </c>
      <c r="F116" s="211">
        <f t="shared" si="26"/>
        <v>0</v>
      </c>
      <c r="G116" s="172"/>
      <c r="H116" s="195">
        <v>0</v>
      </c>
      <c r="I116" s="304">
        <f t="shared" ref="I116" si="29">F116-H116</f>
        <v>0</v>
      </c>
      <c r="J116" s="153"/>
      <c r="K116" s="153"/>
      <c r="L116" s="153"/>
    </row>
    <row r="117" spans="1:12">
      <c r="A117" s="153">
        <v>0</v>
      </c>
      <c r="B117" s="74" t="s">
        <v>84</v>
      </c>
      <c r="D117" s="180">
        <v>0</v>
      </c>
      <c r="E117" s="211">
        <f t="shared" si="27"/>
        <v>0</v>
      </c>
      <c r="F117" s="211">
        <f t="shared" si="26"/>
        <v>0</v>
      </c>
      <c r="G117" s="172"/>
      <c r="H117" s="195">
        <v>0</v>
      </c>
      <c r="I117" s="304">
        <f>F117-H117</f>
        <v>0</v>
      </c>
      <c r="J117" s="153"/>
      <c r="K117" s="153"/>
      <c r="L117" s="153"/>
    </row>
    <row r="118" spans="1:12">
      <c r="A118" s="153">
        <v>0</v>
      </c>
      <c r="B118" s="74" t="s">
        <v>84</v>
      </c>
      <c r="D118" s="180">
        <v>0</v>
      </c>
      <c r="E118" s="211">
        <f t="shared" si="27"/>
        <v>0</v>
      </c>
      <c r="F118" s="211">
        <f t="shared" si="26"/>
        <v>0</v>
      </c>
      <c r="G118" s="172"/>
      <c r="H118" s="195">
        <v>0</v>
      </c>
      <c r="I118" s="300">
        <f>F118-H118</f>
        <v>0</v>
      </c>
      <c r="J118" s="153"/>
      <c r="K118" s="153"/>
      <c r="L118" s="153"/>
    </row>
    <row r="119" spans="1:12">
      <c r="A119" s="153">
        <v>0</v>
      </c>
      <c r="B119" s="74" t="s">
        <v>84</v>
      </c>
      <c r="D119" s="180">
        <v>0</v>
      </c>
      <c r="E119" s="211">
        <f t="shared" si="27"/>
        <v>0</v>
      </c>
      <c r="F119" s="211">
        <f t="shared" si="26"/>
        <v>0</v>
      </c>
      <c r="G119" s="172"/>
      <c r="H119" s="249">
        <v>0</v>
      </c>
      <c r="I119" s="302">
        <f t="shared" ref="I119:I121" si="30">F119-H119</f>
        <v>0</v>
      </c>
      <c r="J119" s="153"/>
      <c r="K119" s="153"/>
      <c r="L119" s="153"/>
    </row>
    <row r="120" spans="1:12">
      <c r="A120" s="106" t="s">
        <v>11</v>
      </c>
      <c r="B120" s="89" t="s">
        <v>11</v>
      </c>
      <c r="D120" s="234" t="s">
        <v>11</v>
      </c>
      <c r="E120" s="235" t="s">
        <v>11</v>
      </c>
      <c r="F120" s="235" t="s">
        <v>11</v>
      </c>
      <c r="G120" s="236"/>
    </row>
    <row r="121" spans="1:12">
      <c r="A121" s="106">
        <v>0</v>
      </c>
      <c r="B121" s="117" t="s">
        <v>85</v>
      </c>
      <c r="D121" s="228">
        <v>0</v>
      </c>
      <c r="E121" s="211">
        <f>F121-D121</f>
        <v>0</v>
      </c>
      <c r="F121" s="195">
        <v>0</v>
      </c>
      <c r="G121" s="172"/>
      <c r="H121" s="249">
        <v>0</v>
      </c>
      <c r="I121" s="302">
        <f t="shared" si="30"/>
        <v>0</v>
      </c>
      <c r="J121" s="153"/>
      <c r="K121" s="153"/>
      <c r="L121" s="153"/>
    </row>
    <row r="122" spans="1:12">
      <c r="A122" s="106" t="s">
        <v>11</v>
      </c>
      <c r="B122" s="89" t="s">
        <v>11</v>
      </c>
      <c r="D122" s="234" t="s">
        <v>11</v>
      </c>
      <c r="E122" s="235" t="s">
        <v>11</v>
      </c>
      <c r="F122" s="235" t="s">
        <v>11</v>
      </c>
      <c r="G122" s="236"/>
    </row>
    <row r="123" spans="1:12">
      <c r="B123" s="97" t="s">
        <v>92</v>
      </c>
      <c r="C123" s="80"/>
      <c r="D123" s="213">
        <f>SUM(D110:D122)</f>
        <v>0</v>
      </c>
      <c r="E123" s="213">
        <f>SUM(E110:E122)</f>
        <v>0</v>
      </c>
      <c r="F123" s="182">
        <f>SUM(F110:F122)</f>
        <v>0</v>
      </c>
      <c r="G123" s="174"/>
      <c r="H123" s="315">
        <f>SUM(H110:H122)</f>
        <v>0</v>
      </c>
      <c r="I123" s="230">
        <f>F123-H123</f>
        <v>0</v>
      </c>
    </row>
    <row r="124" spans="1:12">
      <c r="A124" s="153" t="s">
        <v>11</v>
      </c>
      <c r="B124" s="74" t="s">
        <v>11</v>
      </c>
      <c r="D124" s="183" t="s">
        <v>11</v>
      </c>
      <c r="E124" s="162" t="s">
        <v>11</v>
      </c>
      <c r="F124" s="162" t="s">
        <v>11</v>
      </c>
      <c r="G124" s="172" t="s">
        <v>11</v>
      </c>
      <c r="I124" s="153"/>
      <c r="J124" s="153"/>
      <c r="K124" s="153"/>
      <c r="L124" s="153"/>
    </row>
    <row r="125" spans="1:12">
      <c r="A125" s="153"/>
      <c r="B125" s="73" t="s">
        <v>93</v>
      </c>
      <c r="D125" s="183"/>
      <c r="E125" s="162"/>
      <c r="F125" s="162"/>
      <c r="G125" s="172"/>
      <c r="H125" s="293" t="s">
        <v>83</v>
      </c>
      <c r="I125" s="293" t="s">
        <v>77</v>
      </c>
      <c r="J125" s="153"/>
      <c r="K125" s="153"/>
      <c r="L125" s="153"/>
    </row>
    <row r="126" spans="1:12">
      <c r="A126" s="153">
        <v>1</v>
      </c>
      <c r="B126" s="74" t="s">
        <v>94</v>
      </c>
      <c r="D126" s="180">
        <v>0</v>
      </c>
      <c r="E126" s="211">
        <f t="shared" ref="E126:E128" si="31">F126-D126</f>
        <v>0</v>
      </c>
      <c r="F126" s="211">
        <f t="shared" ref="F126:F128" si="32">ROUNDUP((D126*fee/5),0)*5</f>
        <v>0</v>
      </c>
      <c r="G126" s="172"/>
      <c r="H126" s="294">
        <v>0</v>
      </c>
      <c r="I126" s="301">
        <f>F126-H126</f>
        <v>0</v>
      </c>
      <c r="J126" s="153"/>
      <c r="K126" s="153"/>
      <c r="L126" s="153"/>
    </row>
    <row r="127" spans="1:12">
      <c r="A127" s="153">
        <v>1</v>
      </c>
      <c r="B127" s="74" t="s">
        <v>95</v>
      </c>
      <c r="D127" s="180">
        <v>0</v>
      </c>
      <c r="E127" s="211">
        <f t="shared" si="31"/>
        <v>0</v>
      </c>
      <c r="F127" s="211">
        <f t="shared" si="32"/>
        <v>0</v>
      </c>
      <c r="G127" s="172"/>
      <c r="H127" s="249">
        <v>0</v>
      </c>
      <c r="I127" s="302">
        <f>F127-H127</f>
        <v>0</v>
      </c>
      <c r="J127" s="153"/>
      <c r="K127" s="153"/>
      <c r="L127" s="153"/>
    </row>
    <row r="128" spans="1:12">
      <c r="A128" s="153">
        <v>0</v>
      </c>
      <c r="B128" s="74" t="s">
        <v>84</v>
      </c>
      <c r="D128" s="180">
        <v>0</v>
      </c>
      <c r="E128" s="211">
        <f t="shared" si="31"/>
        <v>0</v>
      </c>
      <c r="F128" s="211">
        <f t="shared" si="32"/>
        <v>0</v>
      </c>
      <c r="G128" s="172"/>
      <c r="H128" s="249">
        <v>0</v>
      </c>
      <c r="I128" s="302">
        <f t="shared" ref="I128" si="33">F128-H128</f>
        <v>0</v>
      </c>
      <c r="J128" s="153"/>
      <c r="K128" s="153"/>
      <c r="L128" s="153"/>
    </row>
    <row r="129" spans="1:12">
      <c r="A129" s="153"/>
      <c r="B129" s="74"/>
      <c r="D129" s="183"/>
      <c r="E129" s="162"/>
      <c r="F129" s="162"/>
      <c r="G129" s="172"/>
      <c r="I129" s="153"/>
      <c r="J129" s="153"/>
      <c r="K129" s="153"/>
      <c r="L129" s="153"/>
    </row>
    <row r="130" spans="1:12">
      <c r="A130" s="106">
        <v>0</v>
      </c>
      <c r="B130" s="117" t="s">
        <v>85</v>
      </c>
      <c r="D130" s="228">
        <v>0</v>
      </c>
      <c r="E130" s="211">
        <f>F130-D130</f>
        <v>0</v>
      </c>
      <c r="F130" s="195">
        <v>0</v>
      </c>
      <c r="G130" s="172"/>
      <c r="H130" s="249">
        <v>0</v>
      </c>
      <c r="I130" s="302">
        <f t="shared" ref="I130" si="34">F130-H130</f>
        <v>0</v>
      </c>
      <c r="J130" s="153"/>
      <c r="K130" s="153"/>
      <c r="L130" s="153"/>
    </row>
    <row r="131" spans="1:12">
      <c r="A131" s="106" t="s">
        <v>11</v>
      </c>
      <c r="B131" s="89" t="s">
        <v>11</v>
      </c>
      <c r="D131" s="234" t="s">
        <v>11</v>
      </c>
      <c r="E131" s="235" t="s">
        <v>11</v>
      </c>
      <c r="F131" s="235" t="s">
        <v>11</v>
      </c>
      <c r="G131" s="236"/>
    </row>
    <row r="132" spans="1:12">
      <c r="B132" s="97" t="s">
        <v>93</v>
      </c>
      <c r="C132" s="80"/>
      <c r="D132" s="213">
        <f>SUM(D126:D131)</f>
        <v>0</v>
      </c>
      <c r="E132" s="213">
        <f>SUM(E126:E131)</f>
        <v>0</v>
      </c>
      <c r="F132" s="182">
        <f>SUM(F126:F131)</f>
        <v>0</v>
      </c>
      <c r="G132" s="174"/>
      <c r="H132" s="315">
        <f>SUM(H126:H131)</f>
        <v>0</v>
      </c>
      <c r="I132" s="230">
        <f>F132-H132</f>
        <v>0</v>
      </c>
    </row>
    <row r="133" spans="1:12">
      <c r="C133" s="80"/>
      <c r="D133" s="172"/>
      <c r="E133" s="172"/>
      <c r="F133" s="172"/>
      <c r="G133" s="172"/>
    </row>
    <row r="134" spans="1:12">
      <c r="C134" s="80"/>
      <c r="D134" s="172"/>
      <c r="E134" s="172"/>
      <c r="F134" s="172"/>
      <c r="G134" s="172"/>
    </row>
    <row r="135" spans="1:12">
      <c r="B135" s="73" t="s">
        <v>96</v>
      </c>
      <c r="C135" s="80"/>
      <c r="D135" s="172"/>
      <c r="E135" s="172"/>
      <c r="F135" s="335"/>
      <c r="G135" s="172"/>
      <c r="H135" s="293" t="s">
        <v>83</v>
      </c>
      <c r="I135" s="293" t="s">
        <v>77</v>
      </c>
      <c r="J135" s="153"/>
      <c r="K135" s="153"/>
      <c r="L135" s="153"/>
    </row>
    <row r="136" spans="1:12">
      <c r="A136" s="153">
        <v>0</v>
      </c>
      <c r="B136" s="87" t="s">
        <v>84</v>
      </c>
      <c r="D136" s="181">
        <v>0</v>
      </c>
      <c r="E136" s="210">
        <f>F136-D136</f>
        <v>0</v>
      </c>
      <c r="F136" s="211">
        <f t="shared" ref="F136:F145" si="35">ROUNDUP((D136*fee/5),0)*5</f>
        <v>0</v>
      </c>
      <c r="G136" s="172"/>
      <c r="H136" s="294">
        <v>0</v>
      </c>
      <c r="I136" s="301">
        <f>F136-H136</f>
        <v>0</v>
      </c>
      <c r="J136" s="153"/>
      <c r="K136" s="153"/>
      <c r="L136" s="153"/>
    </row>
    <row r="137" spans="1:12">
      <c r="A137" s="153">
        <v>0</v>
      </c>
      <c r="B137" s="74" t="s">
        <v>84</v>
      </c>
      <c r="D137" s="180">
        <v>0</v>
      </c>
      <c r="E137" s="211">
        <f>F137-D137</f>
        <v>0</v>
      </c>
      <c r="F137" s="211">
        <f t="shared" si="35"/>
        <v>0</v>
      </c>
      <c r="G137" s="172"/>
      <c r="H137" s="249">
        <v>0</v>
      </c>
      <c r="I137" s="302">
        <f>F137-H137</f>
        <v>0</v>
      </c>
      <c r="J137" s="153"/>
      <c r="K137" s="153"/>
      <c r="L137" s="153"/>
    </row>
    <row r="138" spans="1:12">
      <c r="A138" s="153">
        <v>0</v>
      </c>
      <c r="B138" s="74" t="s">
        <v>84</v>
      </c>
      <c r="D138" s="180">
        <v>0</v>
      </c>
      <c r="E138" s="211">
        <f t="shared" ref="E138:E144" si="36">F138-D138</f>
        <v>0</v>
      </c>
      <c r="F138" s="211">
        <f t="shared" si="35"/>
        <v>0</v>
      </c>
      <c r="G138" s="172"/>
      <c r="H138" s="249">
        <v>0</v>
      </c>
      <c r="I138" s="302">
        <f t="shared" ref="I138:I139" si="37">F138-H138</f>
        <v>0</v>
      </c>
      <c r="J138" s="153"/>
      <c r="K138" s="153"/>
      <c r="L138" s="153"/>
    </row>
    <row r="139" spans="1:12">
      <c r="A139" s="153">
        <v>0</v>
      </c>
      <c r="B139" s="74" t="s">
        <v>84</v>
      </c>
      <c r="D139" s="180">
        <v>0</v>
      </c>
      <c r="E139" s="211">
        <f t="shared" si="36"/>
        <v>0</v>
      </c>
      <c r="F139" s="211">
        <f t="shared" si="35"/>
        <v>0</v>
      </c>
      <c r="G139" s="172"/>
      <c r="H139" s="195">
        <v>0</v>
      </c>
      <c r="I139" s="304">
        <f t="shared" si="37"/>
        <v>0</v>
      </c>
      <c r="J139" s="153"/>
      <c r="K139" s="153"/>
      <c r="L139" s="153"/>
    </row>
    <row r="140" spans="1:12">
      <c r="A140" s="153">
        <v>0</v>
      </c>
      <c r="B140" s="74" t="s">
        <v>84</v>
      </c>
      <c r="D140" s="180">
        <v>0</v>
      </c>
      <c r="E140" s="211">
        <f t="shared" si="36"/>
        <v>0</v>
      </c>
      <c r="F140" s="211">
        <f t="shared" si="35"/>
        <v>0</v>
      </c>
      <c r="G140" s="172"/>
      <c r="H140" s="195">
        <v>0</v>
      </c>
      <c r="I140" s="304">
        <f>F140-H140</f>
        <v>0</v>
      </c>
      <c r="J140" s="153"/>
      <c r="K140" s="153"/>
      <c r="L140" s="153"/>
    </row>
    <row r="141" spans="1:12">
      <c r="A141" s="153">
        <v>0</v>
      </c>
      <c r="B141" s="74" t="s">
        <v>84</v>
      </c>
      <c r="D141" s="180">
        <v>0</v>
      </c>
      <c r="E141" s="211">
        <f t="shared" si="36"/>
        <v>0</v>
      </c>
      <c r="F141" s="211">
        <f t="shared" si="35"/>
        <v>0</v>
      </c>
      <c r="G141" s="172"/>
      <c r="H141" s="249">
        <v>0</v>
      </c>
      <c r="I141" s="302">
        <f t="shared" ref="I141:I142" si="38">F141-H141</f>
        <v>0</v>
      </c>
      <c r="J141" s="153"/>
      <c r="K141" s="153"/>
      <c r="L141" s="153"/>
    </row>
    <row r="142" spans="1:12">
      <c r="A142" s="153">
        <v>0</v>
      </c>
      <c r="B142" s="74" t="s">
        <v>84</v>
      </c>
      <c r="D142" s="180">
        <v>0</v>
      </c>
      <c r="E142" s="211">
        <f t="shared" si="36"/>
        <v>0</v>
      </c>
      <c r="F142" s="211">
        <f t="shared" si="35"/>
        <v>0</v>
      </c>
      <c r="G142" s="172"/>
      <c r="H142" s="195">
        <v>0</v>
      </c>
      <c r="I142" s="304">
        <f t="shared" si="38"/>
        <v>0</v>
      </c>
      <c r="J142" s="153"/>
      <c r="K142" s="153"/>
      <c r="L142" s="153"/>
    </row>
    <row r="143" spans="1:12">
      <c r="A143" s="153">
        <v>0</v>
      </c>
      <c r="B143" s="74" t="s">
        <v>84</v>
      </c>
      <c r="D143" s="180">
        <v>0</v>
      </c>
      <c r="E143" s="211">
        <f t="shared" si="36"/>
        <v>0</v>
      </c>
      <c r="F143" s="211">
        <f t="shared" si="35"/>
        <v>0</v>
      </c>
      <c r="G143" s="172"/>
      <c r="H143" s="195">
        <v>0</v>
      </c>
      <c r="I143" s="304">
        <f>F143-H143</f>
        <v>0</v>
      </c>
      <c r="J143" s="153"/>
      <c r="K143" s="153"/>
      <c r="L143" s="153"/>
    </row>
    <row r="144" spans="1:12">
      <c r="A144" s="153">
        <v>0</v>
      </c>
      <c r="B144" s="74" t="s">
        <v>84</v>
      </c>
      <c r="D144" s="180">
        <v>0</v>
      </c>
      <c r="E144" s="211">
        <f t="shared" si="36"/>
        <v>0</v>
      </c>
      <c r="F144" s="211">
        <f t="shared" si="35"/>
        <v>0</v>
      </c>
      <c r="G144" s="172"/>
      <c r="H144" s="195">
        <v>0</v>
      </c>
      <c r="I144" s="304">
        <f>F144-H144</f>
        <v>0</v>
      </c>
      <c r="J144" s="153"/>
      <c r="K144" s="153"/>
      <c r="L144" s="153"/>
    </row>
    <row r="145" spans="1:12">
      <c r="A145" s="106">
        <v>0</v>
      </c>
      <c r="B145" s="74" t="s">
        <v>84</v>
      </c>
      <c r="D145" s="180">
        <v>0</v>
      </c>
      <c r="E145" s="211">
        <f>F145-D145</f>
        <v>0</v>
      </c>
      <c r="F145" s="211">
        <f t="shared" si="35"/>
        <v>0</v>
      </c>
      <c r="G145" s="172"/>
      <c r="H145" s="249">
        <v>0</v>
      </c>
      <c r="I145" s="302">
        <f t="shared" ref="I145" si="39">F145-H145</f>
        <v>0</v>
      </c>
      <c r="J145" s="153"/>
      <c r="K145" s="153"/>
      <c r="L145" s="153"/>
    </row>
    <row r="146" spans="1:12">
      <c r="A146" s="106" t="s">
        <v>11</v>
      </c>
      <c r="B146" s="89" t="s">
        <v>11</v>
      </c>
      <c r="D146" s="234" t="s">
        <v>11</v>
      </c>
      <c r="E146" s="235" t="s">
        <v>11</v>
      </c>
      <c r="F146" s="235" t="s">
        <v>11</v>
      </c>
      <c r="G146" s="236"/>
    </row>
    <row r="147" spans="1:12" s="107" customFormat="1">
      <c r="A147" s="106"/>
      <c r="B147" s="97" t="str">
        <f>B135</f>
        <v>Electrical</v>
      </c>
      <c r="C147" s="80"/>
      <c r="D147" s="213">
        <f>SUM(D136:D146)</f>
        <v>0</v>
      </c>
      <c r="E147" s="213">
        <f>SUM(E136:E146)</f>
        <v>0</v>
      </c>
      <c r="F147" s="182">
        <f>SUM(F136:F146)</f>
        <v>0</v>
      </c>
      <c r="G147" s="174"/>
      <c r="H147" s="315">
        <f>SUM(H136:H146)</f>
        <v>0</v>
      </c>
      <c r="I147" s="230">
        <f>F147-H147</f>
        <v>0</v>
      </c>
      <c r="L147" s="146"/>
    </row>
    <row r="148" spans="1:12">
      <c r="C148" s="80"/>
      <c r="D148" s="172"/>
      <c r="E148" s="172"/>
      <c r="F148" s="172"/>
      <c r="G148" s="172"/>
    </row>
    <row r="149" spans="1:12">
      <c r="C149" s="80"/>
      <c r="D149" s="172"/>
      <c r="E149" s="172"/>
      <c r="F149" s="172"/>
      <c r="G149" s="172"/>
    </row>
    <row r="150" spans="1:12">
      <c r="A150" s="153"/>
      <c r="B150" s="73" t="s">
        <v>17</v>
      </c>
      <c r="D150" s="172"/>
      <c r="E150" s="172"/>
      <c r="F150" s="335"/>
      <c r="G150" s="172"/>
      <c r="H150" s="293" t="s">
        <v>83</v>
      </c>
      <c r="I150" s="293" t="s">
        <v>77</v>
      </c>
      <c r="J150" s="153"/>
      <c r="K150" s="153"/>
      <c r="L150" s="153"/>
    </row>
    <row r="151" spans="1:12">
      <c r="A151" s="153">
        <v>0</v>
      </c>
      <c r="B151" s="74" t="s">
        <v>84</v>
      </c>
      <c r="D151" s="181">
        <v>0</v>
      </c>
      <c r="E151" s="210">
        <f t="shared" ref="E151:E153" si="40">F151-D151</f>
        <v>0</v>
      </c>
      <c r="F151" s="211">
        <f t="shared" ref="F151:F153" si="41">ROUNDUP((D151*fee/5),0)*5</f>
        <v>0</v>
      </c>
      <c r="G151" s="172"/>
      <c r="H151" s="294">
        <v>0</v>
      </c>
      <c r="I151" s="301">
        <f>F151-H151</f>
        <v>0</v>
      </c>
      <c r="J151" s="153"/>
      <c r="K151" s="153"/>
      <c r="L151" s="153"/>
    </row>
    <row r="152" spans="1:12">
      <c r="A152" s="153">
        <v>0</v>
      </c>
      <c r="B152" s="74" t="s">
        <v>84</v>
      </c>
      <c r="D152" s="180">
        <v>0</v>
      </c>
      <c r="E152" s="211">
        <f t="shared" si="40"/>
        <v>0</v>
      </c>
      <c r="F152" s="211">
        <f t="shared" si="41"/>
        <v>0</v>
      </c>
      <c r="G152" s="172"/>
      <c r="H152" s="249">
        <v>0</v>
      </c>
      <c r="I152" s="302">
        <f>F152-H152</f>
        <v>0</v>
      </c>
      <c r="J152" s="153"/>
      <c r="K152" s="153"/>
      <c r="L152" s="153"/>
    </row>
    <row r="153" spans="1:12">
      <c r="A153" s="153">
        <v>0</v>
      </c>
      <c r="B153" s="74" t="s">
        <v>84</v>
      </c>
      <c r="D153" s="180">
        <v>0</v>
      </c>
      <c r="E153" s="211">
        <f t="shared" si="40"/>
        <v>0</v>
      </c>
      <c r="F153" s="211">
        <f t="shared" si="41"/>
        <v>0</v>
      </c>
      <c r="G153" s="172"/>
      <c r="H153" s="249">
        <v>0</v>
      </c>
      <c r="I153" s="302">
        <f t="shared" ref="I153" si="42">F153-H153</f>
        <v>0</v>
      </c>
      <c r="J153" s="153"/>
      <c r="K153" s="153"/>
      <c r="L153" s="153"/>
    </row>
    <row r="154" spans="1:12">
      <c r="A154" s="153"/>
      <c r="B154" s="74"/>
      <c r="D154" s="183"/>
      <c r="E154" s="162"/>
      <c r="F154" s="162"/>
      <c r="G154" s="172"/>
      <c r="I154" s="153"/>
      <c r="J154" s="153"/>
      <c r="K154" s="153"/>
      <c r="L154" s="153"/>
    </row>
    <row r="155" spans="1:12">
      <c r="A155" s="106">
        <v>0</v>
      </c>
      <c r="B155" s="117" t="s">
        <v>85</v>
      </c>
      <c r="D155" s="228">
        <v>0</v>
      </c>
      <c r="E155" s="211">
        <f>F155-D155</f>
        <v>0</v>
      </c>
      <c r="F155" s="195">
        <v>0</v>
      </c>
      <c r="G155" s="172"/>
      <c r="H155" s="249">
        <v>0</v>
      </c>
      <c r="I155" s="302">
        <f t="shared" ref="I155" si="43">F155-H155</f>
        <v>0</v>
      </c>
      <c r="J155" s="153"/>
      <c r="K155" s="153"/>
      <c r="L155" s="153"/>
    </row>
    <row r="156" spans="1:12">
      <c r="A156" s="106" t="s">
        <v>11</v>
      </c>
      <c r="B156" s="89" t="s">
        <v>11</v>
      </c>
      <c r="D156" s="234" t="s">
        <v>11</v>
      </c>
      <c r="E156" s="235" t="s">
        <v>11</v>
      </c>
      <c r="F156" s="235" t="s">
        <v>11</v>
      </c>
      <c r="G156" s="236"/>
    </row>
    <row r="157" spans="1:12">
      <c r="B157" s="97" t="s">
        <v>93</v>
      </c>
      <c r="C157" s="80"/>
      <c r="D157" s="213">
        <f>SUM(D151:D156)</f>
        <v>0</v>
      </c>
      <c r="E157" s="213">
        <f>SUM(E151:E156)</f>
        <v>0</v>
      </c>
      <c r="F157" s="182">
        <f>SUM(F151:F156)</f>
        <v>0</v>
      </c>
      <c r="G157" s="174"/>
      <c r="H157" s="315">
        <f>SUM(H151:H156)</f>
        <v>0</v>
      </c>
      <c r="I157" s="230">
        <f>F157-H157</f>
        <v>0</v>
      </c>
    </row>
    <row r="158" spans="1:12" s="107" customFormat="1">
      <c r="A158" s="106"/>
      <c r="B158" s="146"/>
      <c r="C158" s="80"/>
      <c r="D158" s="172"/>
      <c r="E158" s="172"/>
      <c r="F158" s="172"/>
      <c r="G158" s="172"/>
      <c r="L158" s="146"/>
    </row>
    <row r="159" spans="1:12" s="107" customFormat="1">
      <c r="A159" s="106"/>
      <c r="B159" s="146"/>
      <c r="C159" s="80"/>
      <c r="D159" s="172"/>
      <c r="E159" s="172"/>
      <c r="F159" s="172"/>
      <c r="G159" s="172"/>
      <c r="H159" s="73" t="s">
        <v>83</v>
      </c>
      <c r="I159" s="73" t="s">
        <v>77</v>
      </c>
      <c r="J159" s="237" t="s">
        <v>57</v>
      </c>
      <c r="L159" s="146"/>
    </row>
    <row r="160" spans="1:12" s="107" customFormat="1" ht="14.1" thickBot="1">
      <c r="A160" s="106"/>
      <c r="B160" s="78" t="s">
        <v>97</v>
      </c>
      <c r="C160" s="80"/>
      <c r="D160" s="79">
        <f>D25+D41+D49+D68+D85+D94+D106+D132+D147+D123+D157</f>
        <v>0</v>
      </c>
      <c r="E160" s="79">
        <f>E25+E41+E49+E68+E85+E94+E106+E132+E147+E123+E157</f>
        <v>0</v>
      </c>
      <c r="F160" s="193">
        <f>F25+F41+F49+F68+F85+F94+F106+F132+F147+F123+F157</f>
        <v>0</v>
      </c>
      <c r="G160" s="172"/>
      <c r="H160" s="269">
        <f>H25+H41+H49+H68+H85+H94+H106+H132+H147+H157+H123</f>
        <v>0</v>
      </c>
      <c r="I160" s="239">
        <f>F160-H160</f>
        <v>0</v>
      </c>
      <c r="J160" s="240" t="e">
        <f ca="1">SOM(I14:I147)-I160</f>
        <v>#NAME?</v>
      </c>
      <c r="L160" s="146"/>
    </row>
    <row r="161" spans="1:12" s="107" customFormat="1" ht="14.1" thickTop="1">
      <c r="A161" s="106"/>
      <c r="B161" s="146"/>
      <c r="C161" s="80"/>
      <c r="D161" s="172"/>
      <c r="E161" s="172"/>
      <c r="F161" s="172"/>
      <c r="G161" s="172"/>
      <c r="L161" s="146"/>
    </row>
    <row r="162" spans="1:12" s="107" customFormat="1">
      <c r="A162" s="106"/>
      <c r="B162" s="146"/>
      <c r="C162" s="80"/>
      <c r="D162" s="172"/>
      <c r="E162" s="172"/>
      <c r="F162" s="172"/>
      <c r="G162" s="172"/>
      <c r="L162" s="146"/>
    </row>
    <row r="163" spans="1:12" s="107" customFormat="1">
      <c r="A163" s="106"/>
      <c r="B163" s="81" t="s">
        <v>98</v>
      </c>
      <c r="C163" s="80"/>
      <c r="D163" s="172"/>
      <c r="E163" s="172"/>
      <c r="F163" s="172"/>
      <c r="G163" s="172"/>
      <c r="L163" s="146"/>
    </row>
    <row r="164" spans="1:12" s="107" customFormat="1">
      <c r="A164" s="106" t="s">
        <v>11</v>
      </c>
      <c r="B164" s="87"/>
      <c r="D164" s="241" t="s">
        <v>11</v>
      </c>
      <c r="E164" s="160" t="s">
        <v>11</v>
      </c>
      <c r="F164" s="242" t="s">
        <v>11</v>
      </c>
      <c r="G164" s="172"/>
      <c r="L164" s="146"/>
    </row>
    <row r="165" spans="1:12" s="107" customFormat="1">
      <c r="A165" s="106" t="s">
        <v>11</v>
      </c>
      <c r="B165" s="88" t="s">
        <v>99</v>
      </c>
      <c r="D165" s="183" t="s">
        <v>11</v>
      </c>
      <c r="E165" s="162" t="s">
        <v>11</v>
      </c>
      <c r="F165" s="165" t="s">
        <v>11</v>
      </c>
      <c r="G165" s="172"/>
      <c r="H165" s="293" t="s">
        <v>83</v>
      </c>
      <c r="I165" s="293" t="s">
        <v>77</v>
      </c>
      <c r="L165" s="146"/>
    </row>
    <row r="166" spans="1:12" s="107" customFormat="1">
      <c r="A166" s="106">
        <v>0</v>
      </c>
      <c r="B166" s="74" t="s">
        <v>84</v>
      </c>
      <c r="D166" s="180">
        <v>0</v>
      </c>
      <c r="E166" s="211">
        <f>F166-D166</f>
        <v>0</v>
      </c>
      <c r="F166" s="211">
        <f t="shared" ref="F166:F170" si="44">ROUNDUP((D166*fee/5),0)*5</f>
        <v>0</v>
      </c>
      <c r="G166" s="172"/>
      <c r="H166" s="294">
        <v>0</v>
      </c>
      <c r="I166" s="301">
        <f>F166-H166</f>
        <v>0</v>
      </c>
      <c r="L166" s="146"/>
    </row>
    <row r="167" spans="1:12" s="107" customFormat="1">
      <c r="A167" s="106">
        <v>0</v>
      </c>
      <c r="B167" s="74" t="s">
        <v>84</v>
      </c>
      <c r="D167" s="180">
        <v>0</v>
      </c>
      <c r="E167" s="211">
        <f>F167-D167</f>
        <v>0</v>
      </c>
      <c r="F167" s="211">
        <f t="shared" si="44"/>
        <v>0</v>
      </c>
      <c r="G167" s="172"/>
      <c r="H167" s="249">
        <v>0</v>
      </c>
      <c r="I167" s="302">
        <f>F167-H167</f>
        <v>0</v>
      </c>
      <c r="L167" s="146"/>
    </row>
    <row r="168" spans="1:12" s="107" customFormat="1">
      <c r="A168" s="106">
        <v>0</v>
      </c>
      <c r="B168" s="74" t="s">
        <v>100</v>
      </c>
      <c r="D168" s="180">
        <v>0</v>
      </c>
      <c r="E168" s="211">
        <f>F168-D168</f>
        <v>0</v>
      </c>
      <c r="F168" s="211">
        <f t="shared" si="44"/>
        <v>0</v>
      </c>
      <c r="G168" s="172"/>
      <c r="H168" s="249">
        <v>0</v>
      </c>
      <c r="I168" s="302">
        <f t="shared" ref="I168" si="45">F168-H168</f>
        <v>0</v>
      </c>
      <c r="L168" s="146"/>
    </row>
    <row r="169" spans="1:12" s="107" customFormat="1">
      <c r="A169" s="106">
        <v>0</v>
      </c>
      <c r="B169" s="74" t="s">
        <v>84</v>
      </c>
      <c r="D169" s="180">
        <v>0</v>
      </c>
      <c r="E169" s="211">
        <f t="shared" ref="E169:E195" si="46">F169-D169</f>
        <v>0</v>
      </c>
      <c r="F169" s="211">
        <f t="shared" si="44"/>
        <v>0</v>
      </c>
      <c r="G169" s="172"/>
      <c r="H169" s="249">
        <v>0</v>
      </c>
      <c r="I169" s="302">
        <f>F169-H169</f>
        <v>0</v>
      </c>
      <c r="L169" s="146"/>
    </row>
    <row r="170" spans="1:12" s="107" customFormat="1">
      <c r="A170" s="106">
        <v>0</v>
      </c>
      <c r="B170" s="74" t="s">
        <v>84</v>
      </c>
      <c r="D170" s="180">
        <v>0</v>
      </c>
      <c r="E170" s="211">
        <f t="shared" si="46"/>
        <v>0</v>
      </c>
      <c r="F170" s="211">
        <f t="shared" si="44"/>
        <v>0</v>
      </c>
      <c r="G170" s="172"/>
      <c r="H170" s="249">
        <v>0</v>
      </c>
      <c r="I170" s="302">
        <f t="shared" ref="I170" si="47">F170-H170</f>
        <v>0</v>
      </c>
      <c r="L170" s="146"/>
    </row>
    <row r="171" spans="1:12" s="107" customFormat="1">
      <c r="A171" s="106" t="s">
        <v>11</v>
      </c>
      <c r="B171" s="74"/>
      <c r="D171" s="183" t="s">
        <v>11</v>
      </c>
      <c r="E171" s="162" t="s">
        <v>11</v>
      </c>
      <c r="F171" s="165" t="s">
        <v>11</v>
      </c>
      <c r="G171" s="172"/>
      <c r="L171" s="146"/>
    </row>
    <row r="172" spans="1:12" s="107" customFormat="1">
      <c r="A172" s="106" t="s">
        <v>11</v>
      </c>
      <c r="B172" s="88" t="s">
        <v>101</v>
      </c>
      <c r="D172" s="183" t="s">
        <v>11</v>
      </c>
      <c r="E172" s="162" t="s">
        <v>11</v>
      </c>
      <c r="F172" s="165" t="s">
        <v>11</v>
      </c>
      <c r="G172" s="172"/>
      <c r="L172" s="146"/>
    </row>
    <row r="173" spans="1:12" s="107" customFormat="1">
      <c r="A173" s="106">
        <v>0</v>
      </c>
      <c r="B173" s="74" t="s">
        <v>102</v>
      </c>
      <c r="D173" s="180">
        <v>0</v>
      </c>
      <c r="E173" s="211">
        <f t="shared" si="46"/>
        <v>0</v>
      </c>
      <c r="F173" s="211">
        <f t="shared" ref="F173:F177" si="48">ROUNDUP((D173*fee/5),0)*5</f>
        <v>0</v>
      </c>
      <c r="G173" s="172"/>
      <c r="H173" s="294">
        <v>0</v>
      </c>
      <c r="I173" s="301">
        <f>F173-H173</f>
        <v>0</v>
      </c>
      <c r="L173" s="146"/>
    </row>
    <row r="174" spans="1:12" s="107" customFormat="1">
      <c r="A174" s="106">
        <v>0</v>
      </c>
      <c r="B174" s="74" t="s">
        <v>102</v>
      </c>
      <c r="D174" s="180">
        <v>0</v>
      </c>
      <c r="E174" s="211">
        <f t="shared" si="46"/>
        <v>0</v>
      </c>
      <c r="F174" s="211">
        <f t="shared" si="48"/>
        <v>0</v>
      </c>
      <c r="G174" s="172"/>
      <c r="H174" s="249">
        <v>0</v>
      </c>
      <c r="I174" s="302">
        <f>F174-H174</f>
        <v>0</v>
      </c>
      <c r="L174" s="146"/>
    </row>
    <row r="175" spans="1:12" s="107" customFormat="1">
      <c r="A175" s="106">
        <v>0</v>
      </c>
      <c r="B175" s="74" t="s">
        <v>84</v>
      </c>
      <c r="D175" s="180">
        <v>0</v>
      </c>
      <c r="E175" s="211">
        <f t="shared" si="46"/>
        <v>0</v>
      </c>
      <c r="F175" s="211">
        <f t="shared" si="48"/>
        <v>0</v>
      </c>
      <c r="G175" s="172"/>
      <c r="H175" s="249">
        <v>0</v>
      </c>
      <c r="I175" s="302">
        <f t="shared" ref="I175" si="49">F175-H175</f>
        <v>0</v>
      </c>
      <c r="L175" s="146"/>
    </row>
    <row r="176" spans="1:12" s="107" customFormat="1">
      <c r="A176" s="106">
        <v>0</v>
      </c>
      <c r="B176" s="74" t="s">
        <v>84</v>
      </c>
      <c r="D176" s="180">
        <v>0</v>
      </c>
      <c r="E176" s="211">
        <f t="shared" si="46"/>
        <v>0</v>
      </c>
      <c r="F176" s="211">
        <f t="shared" si="48"/>
        <v>0</v>
      </c>
      <c r="G176" s="172"/>
      <c r="H176" s="249">
        <v>0</v>
      </c>
      <c r="I176" s="302">
        <f>F176-H176</f>
        <v>0</v>
      </c>
      <c r="L176" s="146"/>
    </row>
    <row r="177" spans="1:12" s="107" customFormat="1">
      <c r="A177" s="106">
        <v>0</v>
      </c>
      <c r="B177" s="74" t="s">
        <v>84</v>
      </c>
      <c r="D177" s="180">
        <v>0</v>
      </c>
      <c r="E177" s="211">
        <f t="shared" si="46"/>
        <v>0</v>
      </c>
      <c r="F177" s="211">
        <f t="shared" si="48"/>
        <v>0</v>
      </c>
      <c r="G177" s="172"/>
      <c r="H177" s="249">
        <v>0</v>
      </c>
      <c r="I177" s="302">
        <f t="shared" ref="I177" si="50">F177-H177</f>
        <v>0</v>
      </c>
      <c r="L177" s="146"/>
    </row>
    <row r="178" spans="1:12" s="107" customFormat="1">
      <c r="A178" s="106" t="s">
        <v>11</v>
      </c>
      <c r="B178" s="74"/>
      <c r="D178" s="183" t="s">
        <v>11</v>
      </c>
      <c r="E178" s="162" t="s">
        <v>11</v>
      </c>
      <c r="F178" s="165" t="s">
        <v>11</v>
      </c>
      <c r="G178" s="172"/>
      <c r="L178" s="146"/>
    </row>
    <row r="179" spans="1:12" s="107" customFormat="1">
      <c r="A179" s="106" t="s">
        <v>11</v>
      </c>
      <c r="B179" s="88" t="s">
        <v>103</v>
      </c>
      <c r="D179" s="183" t="s">
        <v>11</v>
      </c>
      <c r="E179" s="162" t="s">
        <v>11</v>
      </c>
      <c r="F179" s="165" t="s">
        <v>11</v>
      </c>
      <c r="G179" s="172"/>
      <c r="L179" s="146"/>
    </row>
    <row r="180" spans="1:12" s="107" customFormat="1">
      <c r="A180" s="106">
        <v>0</v>
      </c>
      <c r="B180" s="74" t="s">
        <v>84</v>
      </c>
      <c r="D180" s="180">
        <v>0</v>
      </c>
      <c r="E180" s="211">
        <f t="shared" si="46"/>
        <v>0</v>
      </c>
      <c r="F180" s="211">
        <f t="shared" ref="F180:F182" si="51">ROUNDUP((D180*fee/5),0)*5</f>
        <v>0</v>
      </c>
      <c r="G180" s="172"/>
      <c r="H180" s="294">
        <v>0</v>
      </c>
      <c r="I180" s="301">
        <f>F180-H180</f>
        <v>0</v>
      </c>
      <c r="L180" s="146"/>
    </row>
    <row r="181" spans="1:12" s="107" customFormat="1">
      <c r="A181" s="106">
        <v>0</v>
      </c>
      <c r="B181" s="74" t="s">
        <v>84</v>
      </c>
      <c r="D181" s="180">
        <v>0</v>
      </c>
      <c r="E181" s="211">
        <f t="shared" si="46"/>
        <v>0</v>
      </c>
      <c r="F181" s="211">
        <f t="shared" si="51"/>
        <v>0</v>
      </c>
      <c r="G181" s="172"/>
      <c r="H181" s="249">
        <v>0</v>
      </c>
      <c r="I181" s="302">
        <f>F181-H181</f>
        <v>0</v>
      </c>
      <c r="L181" s="146"/>
    </row>
    <row r="182" spans="1:12" s="107" customFormat="1">
      <c r="A182" s="106">
        <v>0</v>
      </c>
      <c r="B182" s="74" t="s">
        <v>102</v>
      </c>
      <c r="D182" s="180">
        <v>0</v>
      </c>
      <c r="E182" s="211">
        <f t="shared" si="46"/>
        <v>0</v>
      </c>
      <c r="F182" s="211">
        <f t="shared" si="51"/>
        <v>0</v>
      </c>
      <c r="G182" s="172"/>
      <c r="H182" s="249">
        <v>0</v>
      </c>
      <c r="I182" s="302">
        <f t="shared" ref="I182" si="52">F182-H182</f>
        <v>0</v>
      </c>
      <c r="L182" s="146"/>
    </row>
    <row r="183" spans="1:12" s="107" customFormat="1">
      <c r="A183" s="106"/>
      <c r="B183" s="74"/>
      <c r="D183" s="183"/>
      <c r="E183" s="162"/>
      <c r="F183" s="165"/>
      <c r="G183" s="172"/>
      <c r="L183" s="146"/>
    </row>
    <row r="184" spans="1:12" s="107" customFormat="1">
      <c r="A184" s="106"/>
      <c r="B184" s="88" t="s">
        <v>104</v>
      </c>
      <c r="D184" s="183" t="s">
        <v>11</v>
      </c>
      <c r="E184" s="162" t="s">
        <v>11</v>
      </c>
      <c r="F184" s="165" t="s">
        <v>11</v>
      </c>
      <c r="G184" s="172"/>
      <c r="L184" s="146"/>
    </row>
    <row r="185" spans="1:12" s="107" customFormat="1">
      <c r="A185" s="106">
        <v>0</v>
      </c>
      <c r="B185" s="74" t="s">
        <v>84</v>
      </c>
      <c r="D185" s="180">
        <v>0</v>
      </c>
      <c r="E185" s="211">
        <f t="shared" si="46"/>
        <v>0</v>
      </c>
      <c r="F185" s="211">
        <f t="shared" ref="F185:F188" si="53">ROUNDUP((D185*fee/5),0)*5</f>
        <v>0</v>
      </c>
      <c r="G185" s="172"/>
      <c r="H185" s="294">
        <v>0</v>
      </c>
      <c r="I185" s="301">
        <f>F185-H185</f>
        <v>0</v>
      </c>
      <c r="L185" s="146"/>
    </row>
    <row r="186" spans="1:12" s="107" customFormat="1">
      <c r="A186" s="106">
        <v>0</v>
      </c>
      <c r="B186" s="74" t="s">
        <v>102</v>
      </c>
      <c r="D186" s="180">
        <v>0</v>
      </c>
      <c r="E186" s="211">
        <f t="shared" si="46"/>
        <v>0</v>
      </c>
      <c r="F186" s="211">
        <f t="shared" si="53"/>
        <v>0</v>
      </c>
      <c r="G186" s="172"/>
      <c r="H186" s="249">
        <v>0</v>
      </c>
      <c r="I186" s="302">
        <f>F186-H186</f>
        <v>0</v>
      </c>
      <c r="L186" s="146"/>
    </row>
    <row r="187" spans="1:12" s="107" customFormat="1">
      <c r="A187" s="106">
        <v>0</v>
      </c>
      <c r="B187" s="74" t="s">
        <v>102</v>
      </c>
      <c r="D187" s="180">
        <v>0</v>
      </c>
      <c r="E187" s="211">
        <f t="shared" si="46"/>
        <v>0</v>
      </c>
      <c r="F187" s="211">
        <f t="shared" si="53"/>
        <v>0</v>
      </c>
      <c r="G187" s="172"/>
      <c r="H187" s="249">
        <v>0</v>
      </c>
      <c r="I187" s="302">
        <f t="shared" ref="I187" si="54">F187-H187</f>
        <v>0</v>
      </c>
      <c r="L187" s="146"/>
    </row>
    <row r="188" spans="1:12" s="107" customFormat="1">
      <c r="A188" s="106">
        <v>0</v>
      </c>
      <c r="B188" s="74" t="s">
        <v>84</v>
      </c>
      <c r="D188" s="180">
        <v>0</v>
      </c>
      <c r="E188" s="211">
        <f t="shared" si="46"/>
        <v>0</v>
      </c>
      <c r="F188" s="211">
        <f t="shared" si="53"/>
        <v>0</v>
      </c>
      <c r="G188" s="172"/>
      <c r="H188" s="249">
        <v>0</v>
      </c>
      <c r="I188" s="302">
        <f>F188-H188</f>
        <v>0</v>
      </c>
      <c r="L188" s="146"/>
    </row>
    <row r="189" spans="1:12" s="107" customFormat="1">
      <c r="A189" s="106"/>
      <c r="B189" s="74"/>
      <c r="D189" s="183" t="s">
        <v>11</v>
      </c>
      <c r="E189" s="162" t="s">
        <v>11</v>
      </c>
      <c r="F189" s="165" t="s">
        <v>11</v>
      </c>
      <c r="G189" s="172"/>
      <c r="L189" s="146"/>
    </row>
    <row r="190" spans="1:12" s="107" customFormat="1">
      <c r="A190" s="106"/>
      <c r="B190" s="88" t="s">
        <v>105</v>
      </c>
      <c r="D190" s="183" t="s">
        <v>11</v>
      </c>
      <c r="E190" s="162" t="s">
        <v>11</v>
      </c>
      <c r="F190" s="165" t="s">
        <v>11</v>
      </c>
      <c r="G190" s="172"/>
      <c r="L190" s="146"/>
    </row>
    <row r="191" spans="1:12" s="107" customFormat="1">
      <c r="A191" s="106">
        <v>0</v>
      </c>
      <c r="B191" s="74" t="s">
        <v>84</v>
      </c>
      <c r="D191" s="180">
        <v>0</v>
      </c>
      <c r="E191" s="211">
        <f t="shared" ref="E191:E194" si="55">F191-D191</f>
        <v>0</v>
      </c>
      <c r="F191" s="211">
        <f t="shared" ref="F191:F195" si="56">ROUNDUP((D191*fee/5),0)*5</f>
        <v>0</v>
      </c>
      <c r="G191" s="172"/>
      <c r="H191" s="294">
        <v>0</v>
      </c>
      <c r="I191" s="301">
        <f>F191-H191</f>
        <v>0</v>
      </c>
      <c r="L191" s="146"/>
    </row>
    <row r="192" spans="1:12">
      <c r="A192" s="106">
        <v>0</v>
      </c>
      <c r="B192" s="74" t="s">
        <v>84</v>
      </c>
      <c r="D192" s="180">
        <v>0</v>
      </c>
      <c r="E192" s="211">
        <f t="shared" si="55"/>
        <v>0</v>
      </c>
      <c r="F192" s="211">
        <f t="shared" si="56"/>
        <v>0</v>
      </c>
      <c r="G192" s="172"/>
      <c r="H192" s="249">
        <v>0</v>
      </c>
      <c r="I192" s="302">
        <f>F192-H192</f>
        <v>0</v>
      </c>
    </row>
    <row r="193" spans="1:11">
      <c r="A193" s="106">
        <v>0</v>
      </c>
      <c r="B193" s="74" t="s">
        <v>84</v>
      </c>
      <c r="D193" s="180">
        <v>0</v>
      </c>
      <c r="E193" s="211">
        <f t="shared" si="55"/>
        <v>0</v>
      </c>
      <c r="F193" s="211">
        <f t="shared" si="56"/>
        <v>0</v>
      </c>
      <c r="G193" s="172"/>
      <c r="H193" s="249">
        <v>0</v>
      </c>
      <c r="I193" s="302">
        <f t="shared" ref="I193" si="57">F193-H193</f>
        <v>0</v>
      </c>
    </row>
    <row r="194" spans="1:11">
      <c r="A194" s="106">
        <v>0</v>
      </c>
      <c r="B194" s="74" t="s">
        <v>84</v>
      </c>
      <c r="D194" s="180">
        <v>0</v>
      </c>
      <c r="E194" s="211">
        <f t="shared" si="55"/>
        <v>0</v>
      </c>
      <c r="F194" s="211">
        <f t="shared" si="56"/>
        <v>0</v>
      </c>
      <c r="G194" s="172"/>
      <c r="H194" s="249">
        <v>0</v>
      </c>
      <c r="I194" s="302">
        <f>F194-H194</f>
        <v>0</v>
      </c>
    </row>
    <row r="195" spans="1:11">
      <c r="A195" s="106">
        <v>0</v>
      </c>
      <c r="B195" s="74" t="s">
        <v>84</v>
      </c>
      <c r="D195" s="180">
        <v>0</v>
      </c>
      <c r="E195" s="211">
        <f t="shared" si="46"/>
        <v>0</v>
      </c>
      <c r="F195" s="211">
        <f t="shared" si="56"/>
        <v>0</v>
      </c>
      <c r="G195" s="172"/>
      <c r="H195" s="249">
        <v>0</v>
      </c>
      <c r="I195" s="302">
        <f t="shared" ref="I195" si="58">F195-H195</f>
        <v>0</v>
      </c>
    </row>
    <row r="196" spans="1:11">
      <c r="B196" s="74"/>
      <c r="D196" s="162" t="s">
        <v>11</v>
      </c>
      <c r="E196" s="162" t="s">
        <v>11</v>
      </c>
      <c r="F196" s="165" t="s">
        <v>11</v>
      </c>
      <c r="G196" s="172"/>
    </row>
    <row r="197" spans="1:11">
      <c r="A197" s="106">
        <v>1</v>
      </c>
      <c r="B197" s="117" t="s">
        <v>106</v>
      </c>
      <c r="D197" s="228">
        <v>0</v>
      </c>
      <c r="E197" s="211">
        <f>F197-D197</f>
        <v>0</v>
      </c>
      <c r="F197" s="195">
        <v>0</v>
      </c>
      <c r="G197" s="172"/>
      <c r="H197" s="249">
        <v>0</v>
      </c>
      <c r="I197" s="302">
        <f t="shared" ref="I197" si="59">F197-H197</f>
        <v>0</v>
      </c>
    </row>
    <row r="198" spans="1:11">
      <c r="A198" s="106" t="s">
        <v>11</v>
      </c>
      <c r="B198" s="89" t="s">
        <v>11</v>
      </c>
      <c r="D198" s="164"/>
      <c r="E198" s="164" t="s">
        <v>11</v>
      </c>
      <c r="F198" s="231" t="s">
        <v>11</v>
      </c>
      <c r="G198" s="172"/>
    </row>
    <row r="199" spans="1:11" ht="14.1" thickBot="1">
      <c r="B199" s="78" t="s">
        <v>107</v>
      </c>
      <c r="C199" s="80"/>
      <c r="D199" s="207">
        <f>SUM(D166:D198)</f>
        <v>0</v>
      </c>
      <c r="E199" s="207">
        <f>SUM(E166:E198)</f>
        <v>0</v>
      </c>
      <c r="F199" s="194">
        <f>SUM(F166:F198)</f>
        <v>0</v>
      </c>
      <c r="G199" s="166"/>
      <c r="H199" s="316">
        <f>SUM(H166:H198)</f>
        <v>0</v>
      </c>
      <c r="I199" s="239">
        <f>F199-H199</f>
        <v>0</v>
      </c>
      <c r="J199" s="178" t="s">
        <v>11</v>
      </c>
      <c r="K199" s="176" t="s">
        <v>11</v>
      </c>
    </row>
    <row r="200" spans="1:11" ht="14.1" thickTop="1">
      <c r="C200" s="80"/>
      <c r="D200" s="161"/>
      <c r="E200" s="161"/>
      <c r="F200" s="161"/>
      <c r="G200" s="161"/>
      <c r="I200" s="107" t="s">
        <v>11</v>
      </c>
    </row>
    <row r="201" spans="1:11">
      <c r="C201" s="80"/>
      <c r="D201" s="161"/>
      <c r="E201" s="161"/>
      <c r="F201" s="161"/>
      <c r="G201" s="161"/>
    </row>
    <row r="202" spans="1:11">
      <c r="A202" s="146"/>
      <c r="B202" s="81" t="s">
        <v>108</v>
      </c>
      <c r="C202" s="80"/>
      <c r="D202" s="166"/>
      <c r="E202" s="161"/>
      <c r="F202" s="161"/>
      <c r="G202" s="161"/>
      <c r="H202" s="161"/>
      <c r="I202" s="146"/>
      <c r="J202" s="146"/>
    </row>
    <row r="203" spans="1:11" ht="12" customHeight="1">
      <c r="A203" s="146"/>
      <c r="B203" s="143" t="s">
        <v>109</v>
      </c>
      <c r="C203" s="80"/>
      <c r="D203" s="261">
        <f>'Budget show 4'!E34</f>
        <v>0</v>
      </c>
      <c r="E203" s="261">
        <f>'Budget show 4'!G34</f>
        <v>0</v>
      </c>
      <c r="F203" s="262">
        <f>'Budget show 4'!I34</f>
        <v>0</v>
      </c>
      <c r="H203" s="161"/>
      <c r="I203" s="146"/>
      <c r="J203" s="146"/>
    </row>
    <row r="204" spans="1:11" ht="12" customHeight="1">
      <c r="A204" s="146"/>
      <c r="B204" s="143" t="s">
        <v>43</v>
      </c>
      <c r="C204" s="80"/>
      <c r="D204" s="263">
        <f>'Budget show 4'!E35</f>
        <v>0</v>
      </c>
      <c r="E204" s="263">
        <f>'Budget show 4'!G35</f>
        <v>0</v>
      </c>
      <c r="F204" s="264">
        <f>'Budget show 4'!I35</f>
        <v>0</v>
      </c>
      <c r="H204" s="161"/>
      <c r="I204" s="146"/>
      <c r="J204" s="146"/>
    </row>
    <row r="205" spans="1:11" ht="12" customHeight="1">
      <c r="A205" s="146"/>
      <c r="B205" s="143" t="s">
        <v>48</v>
      </c>
      <c r="C205" s="80"/>
      <c r="D205" s="263">
        <f>'Budget show 4'!E40</f>
        <v>0</v>
      </c>
      <c r="E205" s="263">
        <f>'Budget show 4'!G40</f>
        <v>0</v>
      </c>
      <c r="F205" s="264">
        <f>'Budget show 4'!I143</f>
        <v>0</v>
      </c>
      <c r="H205" s="161"/>
      <c r="I205" s="146"/>
      <c r="J205" s="146"/>
    </row>
    <row r="206" spans="1:11" ht="12" customHeight="1">
      <c r="A206" s="146"/>
      <c r="B206" s="143" t="s">
        <v>49</v>
      </c>
      <c r="C206" s="80"/>
      <c r="D206" s="263">
        <f>'Budget show 4'!E41</f>
        <v>0</v>
      </c>
      <c r="E206" s="263">
        <f>'Budget show 4'!G41</f>
        <v>0</v>
      </c>
      <c r="F206" s="264">
        <f>'Budget show 4'!I144</f>
        <v>0</v>
      </c>
      <c r="H206" s="161"/>
      <c r="I206" s="146"/>
      <c r="J206" s="146"/>
    </row>
    <row r="207" spans="1:11" ht="12" customHeight="1">
      <c r="A207" s="146"/>
      <c r="B207" s="143" t="s">
        <v>50</v>
      </c>
      <c r="C207" s="80"/>
      <c r="D207" s="263">
        <f>'Budget show 4'!E42</f>
        <v>0</v>
      </c>
      <c r="E207" s="263">
        <f>'Budget show 4'!G42</f>
        <v>0</v>
      </c>
      <c r="F207" s="264">
        <f>'Budget show 4'!I145</f>
        <v>0</v>
      </c>
      <c r="H207" s="161"/>
      <c r="I207" s="146"/>
      <c r="J207" s="146"/>
    </row>
    <row r="208" spans="1:11" ht="12" customHeight="1">
      <c r="A208" s="146"/>
      <c r="B208" s="143" t="s">
        <v>50</v>
      </c>
      <c r="C208" s="80"/>
      <c r="D208" s="263">
        <f>'Budget show 4'!E43</f>
        <v>0</v>
      </c>
      <c r="E208" s="263">
        <f>'Budget show 4'!G43</f>
        <v>0</v>
      </c>
      <c r="F208" s="264">
        <f>'Budget show 4'!I146</f>
        <v>0</v>
      </c>
      <c r="H208" s="161"/>
      <c r="I208" s="146"/>
      <c r="J208" s="146"/>
    </row>
    <row r="209" spans="1:11" ht="12" customHeight="1">
      <c r="A209" s="146"/>
      <c r="B209" s="260" t="s">
        <v>51</v>
      </c>
      <c r="C209" s="80"/>
      <c r="D209" s="263">
        <f>'Budget show 4'!E44</f>
        <v>0</v>
      </c>
      <c r="E209" s="263">
        <f>'Budget show 4'!G44</f>
        <v>0</v>
      </c>
      <c r="F209" s="264">
        <f>'Budget show 4'!I147</f>
        <v>0</v>
      </c>
      <c r="H209" s="161"/>
      <c r="I209" s="146"/>
      <c r="J209" s="146"/>
    </row>
    <row r="210" spans="1:11" ht="12" customHeight="1">
      <c r="A210" s="146"/>
      <c r="B210" s="143" t="s">
        <v>52</v>
      </c>
      <c r="C210" s="80"/>
      <c r="D210" s="263">
        <f>'Budget show 4'!E45</f>
        <v>0</v>
      </c>
      <c r="E210" s="263">
        <f>'Budget show 4'!G45</f>
        <v>0</v>
      </c>
      <c r="F210" s="118"/>
      <c r="H210" s="161"/>
      <c r="I210" s="146"/>
      <c r="J210" s="146"/>
    </row>
    <row r="211" spans="1:11">
      <c r="A211" s="146"/>
      <c r="B211" s="76" t="s">
        <v>11</v>
      </c>
      <c r="C211" s="80"/>
      <c r="D211" s="110">
        <v>0</v>
      </c>
      <c r="E211" s="119">
        <f>F211-D211</f>
        <v>0</v>
      </c>
      <c r="F211" s="118"/>
      <c r="H211" s="161"/>
      <c r="I211" s="146"/>
      <c r="J211" s="146"/>
    </row>
    <row r="212" spans="1:11">
      <c r="A212" s="146"/>
      <c r="B212" s="76"/>
      <c r="C212" s="80"/>
      <c r="D212" s="110">
        <v>0</v>
      </c>
      <c r="E212" s="119">
        <f>F212-D212</f>
        <v>0</v>
      </c>
      <c r="F212" s="118"/>
      <c r="H212" s="161"/>
      <c r="I212" s="146"/>
      <c r="J212" s="146"/>
    </row>
    <row r="213" spans="1:11">
      <c r="A213" s="146"/>
      <c r="B213" s="76"/>
      <c r="C213" s="80"/>
      <c r="D213" s="110">
        <v>0</v>
      </c>
      <c r="E213" s="119">
        <f>F213-D213</f>
        <v>0</v>
      </c>
      <c r="F213" s="118"/>
      <c r="H213" s="161"/>
      <c r="I213" s="146"/>
      <c r="J213" s="146"/>
    </row>
    <row r="214" spans="1:11">
      <c r="A214" s="146"/>
      <c r="B214" s="76"/>
      <c r="C214" s="80"/>
      <c r="D214" s="110">
        <v>0</v>
      </c>
      <c r="E214" s="119">
        <f>F214-D214</f>
        <v>0</v>
      </c>
      <c r="F214" s="118"/>
      <c r="H214" s="161"/>
      <c r="I214" s="146"/>
      <c r="J214" s="146"/>
    </row>
    <row r="215" spans="1:11">
      <c r="A215" s="146"/>
      <c r="B215" s="82" t="s">
        <v>11</v>
      </c>
      <c r="C215" s="80"/>
      <c r="D215" s="196" t="s">
        <v>11</v>
      </c>
      <c r="E215" s="197" t="s">
        <v>11</v>
      </c>
      <c r="F215" s="144"/>
      <c r="H215" s="154" t="s">
        <v>83</v>
      </c>
      <c r="I215" s="154" t="s">
        <v>77</v>
      </c>
    </row>
    <row r="216" spans="1:11" ht="14.1" thickBot="1">
      <c r="A216" s="146"/>
      <c r="B216" s="97" t="str">
        <f>B202</f>
        <v>Hoynck bv Project Management</v>
      </c>
      <c r="C216" s="80"/>
      <c r="D216" s="217">
        <f>SUM(D203:D215)</f>
        <v>0</v>
      </c>
      <c r="E216" s="217">
        <f>SUM(E203:E215)</f>
        <v>0</v>
      </c>
      <c r="F216" s="192">
        <f>SUM(F203:F215)</f>
        <v>0</v>
      </c>
      <c r="H216" s="167">
        <v>0</v>
      </c>
      <c r="I216" s="168">
        <f>F216-H216</f>
        <v>0</v>
      </c>
    </row>
    <row r="217" spans="1:11" ht="14.1" thickTop="1">
      <c r="C217" s="80"/>
      <c r="D217" s="161"/>
      <c r="E217" s="161"/>
      <c r="F217" s="161"/>
      <c r="G217" s="161"/>
    </row>
    <row r="218" spans="1:11">
      <c r="C218" s="80"/>
      <c r="D218" s="161"/>
      <c r="E218" s="161"/>
      <c r="F218" s="161"/>
      <c r="G218" s="161"/>
    </row>
    <row r="219" spans="1:11">
      <c r="B219" s="81" t="s">
        <v>110</v>
      </c>
      <c r="C219" s="80"/>
      <c r="D219" s="161"/>
      <c r="E219" s="161"/>
      <c r="F219" s="161"/>
      <c r="G219" s="161"/>
    </row>
    <row r="220" spans="1:11">
      <c r="B220" s="74" t="s">
        <v>111</v>
      </c>
      <c r="C220" s="80"/>
      <c r="D220" s="201">
        <f>D160</f>
        <v>0</v>
      </c>
      <c r="E220" s="202">
        <f>E160</f>
        <v>0</v>
      </c>
      <c r="F220" s="198">
        <f>F160</f>
        <v>0</v>
      </c>
      <c r="G220" s="161"/>
      <c r="H220" s="312">
        <f>IFERROR(F220/F223,0)</f>
        <v>0</v>
      </c>
      <c r="K220" s="146"/>
    </row>
    <row r="221" spans="1:11">
      <c r="B221" s="74" t="s">
        <v>112</v>
      </c>
      <c r="C221" s="80"/>
      <c r="D221" s="204">
        <f>D199</f>
        <v>0</v>
      </c>
      <c r="E221" s="203">
        <f>E199</f>
        <v>0</v>
      </c>
      <c r="F221" s="199">
        <f>F199</f>
        <v>0</v>
      </c>
      <c r="G221" s="161"/>
      <c r="H221" s="313">
        <f>IFERROR(F221/F224,0)</f>
        <v>0</v>
      </c>
      <c r="K221" s="146"/>
    </row>
    <row r="222" spans="1:11">
      <c r="B222" s="89" t="s">
        <v>113</v>
      </c>
      <c r="C222" s="80"/>
      <c r="D222" s="205">
        <f>D216</f>
        <v>0</v>
      </c>
      <c r="E222" s="206">
        <f>E216</f>
        <v>0</v>
      </c>
      <c r="F222" s="200">
        <f>F216</f>
        <v>0</v>
      </c>
      <c r="G222" s="161"/>
      <c r="H222" s="314">
        <f>IFERROR(F222/F225,0)</f>
        <v>0</v>
      </c>
      <c r="K222" s="146"/>
    </row>
    <row r="223" spans="1:11" ht="14.1" thickBot="1">
      <c r="B223" s="84" t="s">
        <v>114</v>
      </c>
      <c r="C223" s="80"/>
      <c r="D223" s="207">
        <f>SUM(D220:D222)</f>
        <v>0</v>
      </c>
      <c r="E223" s="208">
        <f>SUM(E220:E222)</f>
        <v>0</v>
      </c>
      <c r="F223" s="192">
        <f>SUM(F220:F222)</f>
        <v>0</v>
      </c>
      <c r="G223" s="166"/>
      <c r="H223" s="86" t="s">
        <v>11</v>
      </c>
      <c r="K223" s="146"/>
    </row>
    <row r="224" spans="1:11" ht="14.1" thickTop="1">
      <c r="C224" s="80"/>
      <c r="D224" s="166"/>
      <c r="E224" s="203">
        <f>F223-D223</f>
        <v>0</v>
      </c>
      <c r="F224" s="185" t="s">
        <v>115</v>
      </c>
      <c r="G224" s="186"/>
      <c r="H224" s="86" t="s">
        <v>11</v>
      </c>
      <c r="K224" s="146"/>
    </row>
    <row r="225" spans="2:11" ht="12" customHeight="1">
      <c r="C225" s="80"/>
      <c r="D225" s="166"/>
      <c r="E225" s="218">
        <f>IFERROR(E223/F223,0)</f>
        <v>0</v>
      </c>
      <c r="F225" s="209">
        <f>IFERROR(F223/$A$10,0)</f>
        <v>0</v>
      </c>
      <c r="G225" s="187"/>
      <c r="H225" s="86" t="s">
        <v>11</v>
      </c>
      <c r="K225" s="146"/>
    </row>
    <row r="226" spans="2:11">
      <c r="C226" s="80"/>
      <c r="D226" s="161"/>
      <c r="E226" s="161"/>
      <c r="F226" s="166"/>
      <c r="G226" s="166"/>
      <c r="H226" s="86" t="s">
        <v>11</v>
      </c>
      <c r="J226" s="85"/>
    </row>
    <row r="227" spans="2:11">
      <c r="C227" s="80"/>
      <c r="D227" s="161"/>
      <c r="E227" s="161"/>
      <c r="F227" s="166"/>
      <c r="G227" s="166"/>
      <c r="H227" s="73" t="s">
        <v>83</v>
      </c>
      <c r="I227" s="73" t="s">
        <v>77</v>
      </c>
      <c r="J227" s="85"/>
    </row>
    <row r="228" spans="2:11">
      <c r="B228" s="81" t="s">
        <v>116</v>
      </c>
      <c r="C228" s="72"/>
      <c r="D228" s="188">
        <v>0</v>
      </c>
      <c r="E228" s="212">
        <f t="shared" ref="E228:E229" si="60">F228-D228</f>
        <v>0</v>
      </c>
      <c r="F228" s="191">
        <v>0</v>
      </c>
      <c r="G228" s="161"/>
      <c r="H228" s="229">
        <v>0</v>
      </c>
      <c r="I228" s="267">
        <f>F228-H228</f>
        <v>0</v>
      </c>
      <c r="J228" s="85"/>
    </row>
    <row r="229" spans="2:11">
      <c r="B229" s="81" t="s">
        <v>117</v>
      </c>
      <c r="C229" s="72"/>
      <c r="D229" s="188">
        <v>0</v>
      </c>
      <c r="E229" s="212">
        <f t="shared" si="60"/>
        <v>0</v>
      </c>
      <c r="F229" s="191">
        <v>0</v>
      </c>
      <c r="G229" s="161"/>
      <c r="H229" s="229">
        <v>0</v>
      </c>
      <c r="I229" s="267">
        <f>F229-H229</f>
        <v>0</v>
      </c>
      <c r="J229" s="85"/>
    </row>
    <row r="230" spans="2:11">
      <c r="C230" s="146"/>
      <c r="D230" s="161"/>
      <c r="E230" s="243" t="s">
        <v>118</v>
      </c>
      <c r="F230" s="244">
        <f>IFERROR(F228/F223,0)</f>
        <v>0</v>
      </c>
      <c r="G230" s="189"/>
      <c r="J230" s="85"/>
    </row>
    <row r="231" spans="2:11">
      <c r="C231" s="80"/>
      <c r="D231" s="161"/>
      <c r="E231" s="161"/>
      <c r="F231" s="166"/>
      <c r="G231" s="166"/>
      <c r="J231" s="85"/>
    </row>
    <row r="232" spans="2:11">
      <c r="C232" s="80"/>
      <c r="D232" s="161"/>
      <c r="E232" s="161"/>
      <c r="F232" s="166"/>
      <c r="G232" s="166"/>
      <c r="H232" s="73" t="s">
        <v>83</v>
      </c>
      <c r="I232" s="73" t="s">
        <v>77</v>
      </c>
      <c r="J232" s="85"/>
    </row>
    <row r="233" spans="2:11" ht="14.1" thickBot="1">
      <c r="B233" s="84" t="s">
        <v>119</v>
      </c>
      <c r="C233" s="80"/>
      <c r="D233" s="216">
        <f>D223+D228+D229</f>
        <v>0</v>
      </c>
      <c r="E233" s="255">
        <f>E223+E228+E229</f>
        <v>0</v>
      </c>
      <c r="F233" s="245">
        <f>F223+F228+F229</f>
        <v>0</v>
      </c>
      <c r="G233" s="166"/>
      <c r="H233" s="269">
        <f>H160+H199+H216+H228</f>
        <v>0</v>
      </c>
      <c r="I233" s="268">
        <f>F233-H233</f>
        <v>0</v>
      </c>
      <c r="J233" s="85"/>
      <c r="K233" s="146"/>
    </row>
    <row r="234" spans="2:11" ht="14.1" thickTop="1">
      <c r="C234" s="80"/>
      <c r="D234" s="166"/>
      <c r="E234" s="203">
        <f>F233-D233</f>
        <v>0</v>
      </c>
      <c r="F234" s="185" t="s">
        <v>115</v>
      </c>
      <c r="G234" s="166"/>
      <c r="J234" s="85"/>
      <c r="K234" s="146"/>
    </row>
    <row r="235" spans="2:11">
      <c r="C235" s="80"/>
      <c r="D235" s="166"/>
      <c r="E235" s="218">
        <f>IFERROR(E233/F233,0)</f>
        <v>0</v>
      </c>
      <c r="F235" s="209">
        <f>IFERROR(F233/$A$10,0)</f>
        <v>0</v>
      </c>
      <c r="G235" s="166"/>
      <c r="J235" s="85"/>
      <c r="K235" s="146"/>
    </row>
    <row r="236" spans="2:11">
      <c r="C236" s="80"/>
      <c r="D236" s="166"/>
      <c r="E236" s="161"/>
      <c r="F236" s="166"/>
      <c r="G236" s="166"/>
      <c r="J236" s="85"/>
      <c r="K236" s="146"/>
    </row>
    <row r="237" spans="2:11">
      <c r="B237" s="272" t="s">
        <v>38</v>
      </c>
      <c r="C237" s="67"/>
      <c r="D237" s="253"/>
      <c r="E237" s="253"/>
      <c r="F237" s="253"/>
      <c r="G237" s="166"/>
      <c r="J237" s="85"/>
      <c r="K237" s="146"/>
    </row>
    <row r="238" spans="2:11">
      <c r="B238" s="87" t="s">
        <v>120</v>
      </c>
      <c r="C238" s="67"/>
      <c r="D238" s="317">
        <f>'Budget show 4'!E36</f>
        <v>0</v>
      </c>
      <c r="E238" s="257">
        <f>'Budget show 4'!G36</f>
        <v>0</v>
      </c>
      <c r="F238" s="274"/>
      <c r="G238" s="166"/>
      <c r="J238" s="85"/>
      <c r="K238" s="146"/>
    </row>
    <row r="239" spans="2:11">
      <c r="B239" s="74" t="s">
        <v>121</v>
      </c>
      <c r="C239" s="67"/>
      <c r="D239" s="318">
        <f>'Budget show 4'!E37</f>
        <v>0</v>
      </c>
      <c r="E239" s="75">
        <f>'Budget show 4'!G37</f>
        <v>0</v>
      </c>
      <c r="F239" s="275"/>
      <c r="G239" s="166"/>
      <c r="J239" s="85"/>
      <c r="K239" s="146"/>
    </row>
    <row r="240" spans="2:11">
      <c r="B240" s="74" t="s">
        <v>122</v>
      </c>
      <c r="C240" s="67"/>
      <c r="D240" s="318">
        <f>'Budget show 4'!E38</f>
        <v>0</v>
      </c>
      <c r="E240" s="75">
        <f>'Budget show 4'!G38</f>
        <v>0</v>
      </c>
      <c r="F240" s="275"/>
      <c r="G240" s="166"/>
      <c r="J240" s="85"/>
      <c r="K240" s="146"/>
    </row>
    <row r="241" spans="1:11">
      <c r="B241" s="74" t="s">
        <v>123</v>
      </c>
      <c r="C241" s="67"/>
      <c r="D241" s="318">
        <f>'Budget show 4'!E39</f>
        <v>0</v>
      </c>
      <c r="E241" s="75">
        <f>'Budget show 4'!G39</f>
        <v>0</v>
      </c>
      <c r="F241" s="275"/>
      <c r="G241" s="166"/>
      <c r="J241" s="85"/>
      <c r="K241" s="146"/>
    </row>
    <row r="242" spans="1:11">
      <c r="B242" s="74"/>
      <c r="C242" s="67"/>
      <c r="D242" s="276"/>
      <c r="E242" s="77"/>
      <c r="F242" s="275"/>
      <c r="G242" s="166"/>
      <c r="J242" s="85"/>
      <c r="K242" s="146"/>
    </row>
    <row r="243" spans="1:11">
      <c r="B243" s="89" t="s">
        <v>11</v>
      </c>
      <c r="C243" s="67"/>
      <c r="D243" s="277" t="s">
        <v>11</v>
      </c>
      <c r="E243" s="83" t="s">
        <v>11</v>
      </c>
      <c r="F243" s="83" t="s">
        <v>11</v>
      </c>
      <c r="G243" s="166"/>
      <c r="J243" s="85"/>
      <c r="K243" s="146"/>
    </row>
    <row r="244" spans="1:11" ht="14.1" thickBot="1">
      <c r="B244" s="278" t="s">
        <v>124</v>
      </c>
      <c r="C244" s="67"/>
      <c r="D244" s="279">
        <f>SUM(D238:D243)</f>
        <v>0</v>
      </c>
      <c r="E244" s="279">
        <f>SUM(E238:E243)</f>
        <v>0</v>
      </c>
      <c r="F244" s="83" t="s">
        <v>11</v>
      </c>
      <c r="G244" s="166"/>
      <c r="J244" s="85"/>
      <c r="K244" s="146"/>
    </row>
    <row r="245" spans="1:11" ht="14.1" thickTop="1">
      <c r="C245" s="80"/>
      <c r="D245" s="166"/>
      <c r="E245" s="161"/>
      <c r="F245" s="166"/>
      <c r="G245" s="166"/>
      <c r="J245" s="85"/>
      <c r="K245" s="146"/>
    </row>
    <row r="246" spans="1:11" ht="14.1" thickBot="1">
      <c r="B246" s="84" t="s">
        <v>125</v>
      </c>
      <c r="C246" s="333"/>
      <c r="D246" s="280">
        <f>D244+D233</f>
        <v>0</v>
      </c>
      <c r="E246" s="280">
        <f>E244+E233</f>
        <v>0</v>
      </c>
      <c r="F246" s="332">
        <f>F233</f>
        <v>0</v>
      </c>
      <c r="G246" s="166"/>
      <c r="J246" s="85"/>
      <c r="K246" s="146"/>
    </row>
    <row r="247" spans="1:11" ht="14.1" thickTop="1">
      <c r="C247" s="80"/>
      <c r="D247" s="281"/>
      <c r="E247" s="75">
        <f>F246-D246</f>
        <v>0</v>
      </c>
      <c r="F247" s="282" t="s">
        <v>115</v>
      </c>
      <c r="G247" s="166"/>
      <c r="J247" s="85"/>
      <c r="K247" s="146"/>
    </row>
    <row r="248" spans="1:11">
      <c r="C248" s="80"/>
      <c r="D248" s="281"/>
      <c r="E248" s="218">
        <f>IFERROR(E246/F246,0)</f>
        <v>0</v>
      </c>
      <c r="F248" s="283">
        <f>IFERROR(F246/$A$10,0)</f>
        <v>0</v>
      </c>
      <c r="G248" s="166"/>
      <c r="J248" s="85"/>
      <c r="K248" s="146"/>
    </row>
    <row r="249" spans="1:11">
      <c r="B249" s="107"/>
      <c r="C249" s="85"/>
      <c r="E249" s="85"/>
      <c r="G249" s="166"/>
      <c r="J249" s="85"/>
      <c r="K249" s="146"/>
    </row>
    <row r="250" spans="1:11">
      <c r="B250" s="81" t="s">
        <v>126</v>
      </c>
      <c r="C250" s="80"/>
      <c r="D250" s="166"/>
      <c r="E250" s="161"/>
      <c r="F250" s="166"/>
      <c r="G250" s="166"/>
      <c r="H250" s="293" t="s">
        <v>83</v>
      </c>
      <c r="I250" s="293" t="s">
        <v>77</v>
      </c>
      <c r="J250" s="85"/>
      <c r="K250" s="146"/>
    </row>
    <row r="251" spans="1:11">
      <c r="A251" s="158">
        <v>0</v>
      </c>
      <c r="B251" s="159" t="s">
        <v>84</v>
      </c>
      <c r="D251" s="273">
        <v>0</v>
      </c>
      <c r="E251" s="292">
        <f>F251-D251</f>
        <v>0</v>
      </c>
      <c r="F251" s="171">
        <f t="shared" ref="F251:F252" si="61">ROUNDUP((D251*fee/5),0)*5</f>
        <v>0</v>
      </c>
      <c r="G251" s="172"/>
      <c r="H251" s="294">
        <v>0</v>
      </c>
      <c r="I251" s="295">
        <f>F251-H251</f>
        <v>0</v>
      </c>
      <c r="J251" s="85"/>
      <c r="K251" s="146"/>
    </row>
    <row r="252" spans="1:11" ht="14.1" thickBot="1">
      <c r="A252" s="106">
        <v>0</v>
      </c>
      <c r="B252" s="89" t="s">
        <v>84</v>
      </c>
      <c r="C252" s="80"/>
      <c r="D252" s="320">
        <v>0</v>
      </c>
      <c r="E252" s="327">
        <f>F252-D252</f>
        <v>0</v>
      </c>
      <c r="F252" s="163">
        <f t="shared" si="61"/>
        <v>0</v>
      </c>
      <c r="G252" s="166"/>
      <c r="H252" s="296">
        <v>0</v>
      </c>
      <c r="I252" s="297">
        <f>F252-H252</f>
        <v>0</v>
      </c>
      <c r="J252" s="85"/>
      <c r="K252" s="146"/>
    </row>
    <row r="253" spans="1:11" ht="15" thickTop="1" thickBot="1">
      <c r="B253" s="278" t="s">
        <v>127</v>
      </c>
      <c r="C253" s="67"/>
      <c r="D253" s="319">
        <f>SUM(D251:D252)</f>
        <v>0</v>
      </c>
      <c r="E253" s="319">
        <f>SUM(E251:E252)</f>
        <v>0</v>
      </c>
      <c r="F253" s="330">
        <f>SUM(F251:F252)</f>
        <v>0</v>
      </c>
      <c r="G253" s="146"/>
      <c r="J253" s="85"/>
      <c r="K253" s="146"/>
    </row>
    <row r="254" spans="1:11" ht="14.1" thickTop="1">
      <c r="C254" s="80"/>
      <c r="D254" s="166"/>
      <c r="E254" s="161"/>
      <c r="F254" s="166"/>
      <c r="G254" s="166"/>
      <c r="J254" s="85"/>
      <c r="K254" s="146"/>
    </row>
    <row r="255" spans="1:11">
      <c r="C255" s="80"/>
      <c r="D255" s="166"/>
      <c r="E255" s="161"/>
      <c r="F255" s="166"/>
      <c r="G255" s="166"/>
      <c r="H255" s="73" t="s">
        <v>83</v>
      </c>
      <c r="I255" s="73" t="s">
        <v>77</v>
      </c>
      <c r="J255" s="85"/>
      <c r="K255" s="146"/>
    </row>
    <row r="256" spans="1:11" ht="14.1" thickBot="1">
      <c r="B256" s="84" t="s">
        <v>128</v>
      </c>
      <c r="C256" s="80"/>
      <c r="D256" s="216">
        <f>D246+D253</f>
        <v>0</v>
      </c>
      <c r="E256" s="216">
        <f>E246+E253</f>
        <v>0</v>
      </c>
      <c r="F256" s="192">
        <f>F246+F253</f>
        <v>0</v>
      </c>
      <c r="G256" s="166"/>
      <c r="H256" s="269">
        <f>H233+H251+H252</f>
        <v>0</v>
      </c>
      <c r="I256" s="268">
        <f>F256-H256</f>
        <v>0</v>
      </c>
      <c r="J256" s="85"/>
      <c r="K256" s="146"/>
    </row>
    <row r="257" spans="2:11" ht="14.1" thickTop="1">
      <c r="C257" s="80"/>
      <c r="D257" s="166"/>
      <c r="E257" s="203">
        <f>F256-D256</f>
        <v>0</v>
      </c>
      <c r="F257" s="185" t="s">
        <v>115</v>
      </c>
      <c r="G257" s="166"/>
      <c r="J257" s="85"/>
      <c r="K257" s="146"/>
    </row>
    <row r="258" spans="2:11">
      <c r="C258" s="80"/>
      <c r="D258" s="166"/>
      <c r="E258" s="218">
        <f>IFERROR(E256/F256,0)</f>
        <v>0</v>
      </c>
      <c r="F258" s="209">
        <f>IFERROR(F256/$A$10,0)</f>
        <v>0</v>
      </c>
      <c r="G258" s="166"/>
      <c r="J258" s="85"/>
      <c r="K258" s="146"/>
    </row>
    <row r="259" spans="2:11">
      <c r="C259" s="80"/>
      <c r="D259" s="146"/>
      <c r="E259" s="146"/>
      <c r="F259" s="146"/>
      <c r="G259" s="166"/>
      <c r="J259" s="85"/>
      <c r="K259" s="146"/>
    </row>
    <row r="260" spans="2:11">
      <c r="C260" s="80"/>
      <c r="D260" s="281"/>
      <c r="G260" s="166"/>
      <c r="J260" s="85"/>
      <c r="K260" s="146"/>
    </row>
    <row r="261" spans="2:11">
      <c r="B261" s="272" t="s">
        <v>159</v>
      </c>
      <c r="C261" s="80"/>
      <c r="D261" s="281"/>
      <c r="F261" s="331"/>
      <c r="G261" s="166"/>
      <c r="H261" s="293" t="s">
        <v>83</v>
      </c>
      <c r="I261" s="293" t="s">
        <v>77</v>
      </c>
      <c r="J261" s="85"/>
      <c r="K261" s="146"/>
    </row>
    <row r="262" spans="2:11">
      <c r="B262" s="87"/>
      <c r="C262" s="80"/>
      <c r="D262" s="273">
        <v>0</v>
      </c>
      <c r="E262" s="298">
        <f>F262-D262</f>
        <v>0</v>
      </c>
      <c r="F262" s="163">
        <f t="shared" ref="F262:F263" si="62">ROUNDUP((D262*fee/5),0)*5</f>
        <v>0</v>
      </c>
      <c r="G262" s="146"/>
      <c r="H262" s="294">
        <v>0</v>
      </c>
      <c r="I262" s="295">
        <f>F262-H262</f>
        <v>0</v>
      </c>
      <c r="J262" s="85"/>
      <c r="K262" s="146"/>
    </row>
    <row r="263" spans="2:11" ht="14.1" thickBot="1">
      <c r="B263" s="74"/>
      <c r="C263" s="80"/>
      <c r="D263" s="320">
        <v>0</v>
      </c>
      <c r="E263" s="321">
        <f>F263-D263</f>
        <v>0</v>
      </c>
      <c r="F263" s="163">
        <f t="shared" si="62"/>
        <v>0</v>
      </c>
      <c r="G263" s="146"/>
      <c r="H263" s="296">
        <v>0</v>
      </c>
      <c r="I263" s="297">
        <f>F263-H263</f>
        <v>0</v>
      </c>
      <c r="J263" s="85"/>
      <c r="K263" s="146"/>
    </row>
    <row r="264" spans="2:11" ht="15" thickTop="1" thickBot="1">
      <c r="B264" s="278" t="s">
        <v>130</v>
      </c>
      <c r="C264" s="67"/>
      <c r="D264" s="319">
        <f>SUM(D262:D263)</f>
        <v>0</v>
      </c>
      <c r="E264" s="319">
        <f>SUM(E262:E263)</f>
        <v>0</v>
      </c>
      <c r="F264" s="330">
        <f>SUM(F262:F263)</f>
        <v>0</v>
      </c>
      <c r="G264" s="146"/>
      <c r="J264" s="85"/>
      <c r="K264" s="146"/>
    </row>
    <row r="265" spans="2:11" ht="14.1" thickTop="1">
      <c r="J265" s="85"/>
      <c r="K265" s="146"/>
    </row>
    <row r="266" spans="2:11">
      <c r="C266" s="80"/>
      <c r="D266" s="281"/>
      <c r="F266" s="85"/>
      <c r="G266" s="146"/>
      <c r="H266" s="73" t="s">
        <v>83</v>
      </c>
      <c r="I266" s="73" t="s">
        <v>77</v>
      </c>
      <c r="J266" s="85"/>
      <c r="K266" s="146"/>
    </row>
    <row r="267" spans="2:11" ht="14.1" thickBot="1">
      <c r="B267" s="84" t="s">
        <v>131</v>
      </c>
      <c r="C267" s="333"/>
      <c r="D267" s="280">
        <f>D264+D256</f>
        <v>0</v>
      </c>
      <c r="E267" s="280">
        <f>E256+E264</f>
        <v>0</v>
      </c>
      <c r="F267" s="332">
        <f>F256+F264</f>
        <v>0</v>
      </c>
      <c r="G267" s="146"/>
      <c r="H267" s="269">
        <f>H256+H262+H263</f>
        <v>0</v>
      </c>
      <c r="I267" s="268">
        <f>F267-H267</f>
        <v>0</v>
      </c>
      <c r="J267" s="146"/>
      <c r="K267" s="146"/>
    </row>
    <row r="268" spans="2:11" ht="14.1" thickTop="1">
      <c r="C268" s="80"/>
      <c r="D268" s="281"/>
      <c r="E268" s="75">
        <f>F267-D267</f>
        <v>0</v>
      </c>
      <c r="F268" s="282" t="s">
        <v>115</v>
      </c>
      <c r="G268" s="146"/>
      <c r="J268" s="85"/>
      <c r="K268" s="146"/>
    </row>
    <row r="269" spans="2:11">
      <c r="C269" s="80"/>
      <c r="D269" s="281"/>
      <c r="E269" s="218">
        <f>IFERROR(E267/F267,0)</f>
        <v>0</v>
      </c>
      <c r="F269" s="283">
        <f>IFERROR(F267/$A$10,0)</f>
        <v>0</v>
      </c>
      <c r="G269" s="146"/>
      <c r="J269" s="85"/>
      <c r="K269" s="146"/>
    </row>
    <row r="270" spans="2:11">
      <c r="C270" s="80"/>
      <c r="D270" s="281"/>
      <c r="F270" s="85"/>
      <c r="G270" s="146"/>
      <c r="J270" s="85"/>
      <c r="K270" s="146"/>
    </row>
    <row r="271" spans="2:11">
      <c r="B271" s="81" t="s">
        <v>132</v>
      </c>
      <c r="C271" s="80"/>
      <c r="D271" s="166"/>
      <c r="E271" s="161"/>
      <c r="F271" s="166"/>
      <c r="G271" s="146"/>
      <c r="J271" s="85"/>
      <c r="K271" s="146"/>
    </row>
    <row r="272" spans="2:11">
      <c r="B272" s="74" t="s">
        <v>11</v>
      </c>
      <c r="C272" s="80"/>
      <c r="D272" s="241" t="s">
        <v>11</v>
      </c>
      <c r="E272" s="160" t="s">
        <v>11</v>
      </c>
      <c r="F272" s="246" t="s">
        <v>11</v>
      </c>
      <c r="G272" s="146"/>
      <c r="J272" s="85"/>
      <c r="K272" s="146"/>
    </row>
    <row r="273" spans="1:11">
      <c r="B273" s="88" t="s">
        <v>133</v>
      </c>
      <c r="C273" s="80"/>
      <c r="D273" s="183" t="s">
        <v>11</v>
      </c>
      <c r="E273" s="162" t="s">
        <v>11</v>
      </c>
      <c r="F273" s="177" t="s">
        <v>11</v>
      </c>
      <c r="G273" s="146"/>
      <c r="J273" s="85"/>
      <c r="K273" s="146"/>
    </row>
    <row r="274" spans="1:11">
      <c r="B274" s="74" t="s">
        <v>84</v>
      </c>
      <c r="C274" s="80" t="s">
        <v>11</v>
      </c>
      <c r="D274" s="180">
        <v>0</v>
      </c>
      <c r="E274" s="211">
        <f t="shared" ref="E274:E275" si="63">F274-D274</f>
        <v>0</v>
      </c>
      <c r="F274" s="163">
        <f t="shared" ref="F274:F278" si="64">ROUNDUP((D274*fee/5),0)*5</f>
        <v>0</v>
      </c>
      <c r="G274" s="146"/>
      <c r="J274" s="85"/>
      <c r="K274" s="146"/>
    </row>
    <row r="275" spans="1:11">
      <c r="A275" s="106" t="s">
        <v>11</v>
      </c>
      <c r="B275" s="74" t="s">
        <v>84</v>
      </c>
      <c r="C275" s="80"/>
      <c r="D275" s="180">
        <v>0</v>
      </c>
      <c r="E275" s="211">
        <f t="shared" si="63"/>
        <v>0</v>
      </c>
      <c r="F275" s="163">
        <f t="shared" si="64"/>
        <v>0</v>
      </c>
      <c r="G275" s="146"/>
      <c r="J275" s="85"/>
      <c r="K275" s="146"/>
    </row>
    <row r="276" spans="1:11">
      <c r="A276" s="106" t="s">
        <v>11</v>
      </c>
      <c r="B276" s="74" t="s">
        <v>84</v>
      </c>
      <c r="C276" s="80" t="s">
        <v>11</v>
      </c>
      <c r="D276" s="180">
        <v>0</v>
      </c>
      <c r="E276" s="211">
        <f>F276-D276</f>
        <v>0</v>
      </c>
      <c r="F276" s="163">
        <f t="shared" si="64"/>
        <v>0</v>
      </c>
      <c r="G276" s="146"/>
      <c r="J276" s="85"/>
      <c r="K276" s="146"/>
    </row>
    <row r="277" spans="1:11">
      <c r="A277" s="106">
        <v>0</v>
      </c>
      <c r="B277" s="74" t="s">
        <v>84</v>
      </c>
      <c r="C277" s="80" t="s">
        <v>11</v>
      </c>
      <c r="D277" s="180">
        <v>0</v>
      </c>
      <c r="E277" s="211">
        <f t="shared" ref="E277" si="65">F277-D277</f>
        <v>0</v>
      </c>
      <c r="F277" s="163">
        <f t="shared" si="64"/>
        <v>0</v>
      </c>
      <c r="G277" s="146"/>
      <c r="J277" s="85"/>
      <c r="K277" s="146"/>
    </row>
    <row r="278" spans="1:11" ht="14.1" thickBot="1">
      <c r="B278" s="74" t="s">
        <v>84</v>
      </c>
      <c r="C278" s="80" t="s">
        <v>11</v>
      </c>
      <c r="D278" s="324">
        <v>0</v>
      </c>
      <c r="E278" s="325">
        <f>F278-D278</f>
        <v>0</v>
      </c>
      <c r="F278" s="326">
        <f t="shared" si="64"/>
        <v>0</v>
      </c>
      <c r="G278" s="146"/>
      <c r="J278" s="85"/>
      <c r="K278" s="146"/>
    </row>
    <row r="279" spans="1:11" ht="15" thickTop="1" thickBot="1">
      <c r="B279" s="278" t="s">
        <v>134</v>
      </c>
      <c r="C279" s="250"/>
      <c r="D279" s="322">
        <f>SUM(D274:D278)</f>
        <v>0</v>
      </c>
      <c r="E279" s="322">
        <f>SUM(E274:E278)</f>
        <v>0</v>
      </c>
      <c r="F279" s="323">
        <f>SUM(F274:F278)</f>
        <v>0</v>
      </c>
      <c r="G279" s="146"/>
      <c r="J279" s="85"/>
      <c r="K279" s="146"/>
    </row>
    <row r="280" spans="1:11" ht="14.1" thickTop="1">
      <c r="B280" s="252"/>
      <c r="C280" s="250"/>
      <c r="D280" s="251"/>
      <c r="E280" s="251"/>
      <c r="F280" s="251"/>
      <c r="G280" s="146"/>
      <c r="J280" s="85"/>
      <c r="K280" s="146"/>
    </row>
    <row r="281" spans="1:11">
      <c r="C281" s="80"/>
      <c r="D281" s="281"/>
      <c r="F281" s="85"/>
      <c r="G281" s="146"/>
      <c r="H281" s="73" t="s">
        <v>83</v>
      </c>
      <c r="I281" s="73" t="s">
        <v>77</v>
      </c>
      <c r="J281" s="85"/>
      <c r="K281" s="146"/>
    </row>
    <row r="282" spans="1:11" ht="14.1" thickBot="1">
      <c r="B282" s="84" t="s">
        <v>135</v>
      </c>
      <c r="C282" s="333"/>
      <c r="D282" s="280">
        <f>D279+D267</f>
        <v>0</v>
      </c>
      <c r="E282" s="280">
        <f>E279+E267</f>
        <v>0</v>
      </c>
      <c r="F282" s="332">
        <f>F279+F267</f>
        <v>0</v>
      </c>
      <c r="G282" s="146"/>
      <c r="H282" s="238">
        <f>H267+F279</f>
        <v>0</v>
      </c>
      <c r="I282" s="268">
        <f>F282-H282</f>
        <v>0</v>
      </c>
      <c r="J282" s="85"/>
      <c r="K282" s="146"/>
    </row>
    <row r="283" spans="1:11" ht="14.1" thickTop="1">
      <c r="C283" s="80"/>
      <c r="D283" s="281"/>
      <c r="E283" s="75">
        <f>F282-D282</f>
        <v>0</v>
      </c>
      <c r="F283" s="282" t="s">
        <v>115</v>
      </c>
      <c r="G283" s="146"/>
      <c r="J283" s="85"/>
      <c r="K283" s="146"/>
    </row>
    <row r="284" spans="1:11">
      <c r="C284" s="80"/>
      <c r="D284" s="281"/>
      <c r="E284" s="218">
        <f>IFERROR(E282/F282,0)</f>
        <v>0</v>
      </c>
      <c r="F284" s="283">
        <f>IFERROR(F282/$A$10,0)</f>
        <v>0</v>
      </c>
      <c r="G284" s="146"/>
      <c r="J284" s="85"/>
      <c r="K284" s="146"/>
    </row>
    <row r="285" spans="1:11">
      <c r="C285" s="80"/>
      <c r="D285" s="166"/>
      <c r="F285" s="85"/>
      <c r="G285" s="146"/>
      <c r="J285" s="85"/>
      <c r="K285" s="146"/>
    </row>
    <row r="286" spans="1:11">
      <c r="B286" s="81" t="s">
        <v>136</v>
      </c>
      <c r="C286" s="80"/>
      <c r="D286" s="166"/>
      <c r="E286" s="161"/>
      <c r="F286" s="166"/>
      <c r="G286" s="166"/>
      <c r="J286" s="85"/>
      <c r="K286" s="146"/>
    </row>
    <row r="287" spans="1:11">
      <c r="A287" s="106" t="s">
        <v>11</v>
      </c>
      <c r="B287" s="87" t="s">
        <v>11</v>
      </c>
      <c r="C287" s="80"/>
      <c r="D287" s="241" t="s">
        <v>11</v>
      </c>
      <c r="E287" s="160" t="s">
        <v>11</v>
      </c>
      <c r="F287" s="246" t="s">
        <v>11</v>
      </c>
      <c r="G287" s="174"/>
      <c r="J287" s="85"/>
      <c r="K287" s="146"/>
    </row>
    <row r="288" spans="1:11">
      <c r="A288" s="106">
        <v>0</v>
      </c>
      <c r="B288" s="74" t="s">
        <v>84</v>
      </c>
      <c r="C288" s="80"/>
      <c r="D288" s="180">
        <v>0</v>
      </c>
      <c r="E288" s="211">
        <f t="shared" ref="E288" si="66">F288-D288</f>
        <v>0</v>
      </c>
      <c r="F288" s="211">
        <f t="shared" ref="F288:F296" si="67">ROUNDUP((D288*fee/5),0)*5</f>
        <v>0</v>
      </c>
      <c r="G288" s="174"/>
      <c r="J288" s="85"/>
      <c r="K288" s="146"/>
    </row>
    <row r="289" spans="1:11">
      <c r="A289" s="106">
        <v>0</v>
      </c>
      <c r="B289" s="74" t="s">
        <v>84</v>
      </c>
      <c r="C289" s="80"/>
      <c r="D289" s="180">
        <v>0</v>
      </c>
      <c r="E289" s="211">
        <f>F289-D289</f>
        <v>0</v>
      </c>
      <c r="F289" s="211">
        <f t="shared" si="67"/>
        <v>0</v>
      </c>
      <c r="G289" s="174"/>
      <c r="J289" s="85"/>
      <c r="K289" s="146"/>
    </row>
    <row r="290" spans="1:11">
      <c r="A290" s="106">
        <v>0</v>
      </c>
      <c r="B290" s="74" t="s">
        <v>84</v>
      </c>
      <c r="C290" s="80"/>
      <c r="D290" s="180">
        <v>0</v>
      </c>
      <c r="E290" s="211">
        <f t="shared" ref="E290:E292" si="68">F290-D290</f>
        <v>0</v>
      </c>
      <c r="F290" s="211">
        <f t="shared" si="67"/>
        <v>0</v>
      </c>
      <c r="G290" s="174"/>
      <c r="J290" s="85"/>
      <c r="K290" s="146"/>
    </row>
    <row r="291" spans="1:11">
      <c r="A291" s="106">
        <v>0</v>
      </c>
      <c r="B291" s="74" t="s">
        <v>84</v>
      </c>
      <c r="C291" s="80"/>
      <c r="D291" s="180">
        <v>0</v>
      </c>
      <c r="E291" s="211">
        <f t="shared" si="68"/>
        <v>0</v>
      </c>
      <c r="F291" s="211">
        <f t="shared" si="67"/>
        <v>0</v>
      </c>
      <c r="G291" s="174"/>
      <c r="J291" s="85"/>
      <c r="K291" s="146"/>
    </row>
    <row r="292" spans="1:11">
      <c r="A292" s="106">
        <v>0</v>
      </c>
      <c r="B292" s="74" t="s">
        <v>84</v>
      </c>
      <c r="C292" s="80"/>
      <c r="D292" s="180">
        <v>0</v>
      </c>
      <c r="E292" s="211">
        <f t="shared" si="68"/>
        <v>0</v>
      </c>
      <c r="F292" s="211">
        <f t="shared" si="67"/>
        <v>0</v>
      </c>
      <c r="G292" s="174"/>
      <c r="J292" s="85"/>
      <c r="K292" s="146"/>
    </row>
    <row r="293" spans="1:11">
      <c r="A293" s="106">
        <v>0</v>
      </c>
      <c r="B293" s="74" t="s">
        <v>84</v>
      </c>
      <c r="C293" s="80"/>
      <c r="D293" s="180">
        <v>0</v>
      </c>
      <c r="E293" s="211">
        <f>F293-D293</f>
        <v>0</v>
      </c>
      <c r="F293" s="211">
        <f t="shared" si="67"/>
        <v>0</v>
      </c>
      <c r="G293" s="174"/>
      <c r="H293" s="85"/>
      <c r="K293" s="146"/>
    </row>
    <row r="294" spans="1:11" ht="15.95">
      <c r="A294" s="106">
        <v>0</v>
      </c>
      <c r="B294" s="74" t="s">
        <v>84</v>
      </c>
      <c r="C294" s="80"/>
      <c r="D294" s="180">
        <v>0</v>
      </c>
      <c r="E294" s="211">
        <f t="shared" ref="E294:E296" si="69">F294-D294</f>
        <v>0</v>
      </c>
      <c r="F294" s="211">
        <f t="shared" si="67"/>
        <v>0</v>
      </c>
      <c r="G294" s="174"/>
      <c r="H294" s="85" t="s">
        <v>11</v>
      </c>
      <c r="I294" s="247" t="s">
        <v>11</v>
      </c>
      <c r="K294" s="146"/>
    </row>
    <row r="295" spans="1:11">
      <c r="A295" s="106">
        <v>0</v>
      </c>
      <c r="B295" s="74" t="s">
        <v>84</v>
      </c>
      <c r="C295" s="80"/>
      <c r="D295" s="180">
        <v>0</v>
      </c>
      <c r="E295" s="211">
        <f t="shared" si="69"/>
        <v>0</v>
      </c>
      <c r="F295" s="211">
        <f t="shared" si="67"/>
        <v>0</v>
      </c>
      <c r="G295" s="174"/>
      <c r="H295" s="85"/>
      <c r="K295" s="146"/>
    </row>
    <row r="296" spans="1:11">
      <c r="A296" s="106">
        <v>0</v>
      </c>
      <c r="B296" s="74" t="s">
        <v>84</v>
      </c>
      <c r="C296" s="80"/>
      <c r="D296" s="180">
        <v>0</v>
      </c>
      <c r="E296" s="211">
        <f t="shared" si="69"/>
        <v>0</v>
      </c>
      <c r="F296" s="211">
        <f t="shared" si="67"/>
        <v>0</v>
      </c>
      <c r="G296" s="174"/>
      <c r="H296" s="85" t="s">
        <v>11</v>
      </c>
      <c r="K296" s="146"/>
    </row>
    <row r="297" spans="1:11">
      <c r="B297" s="89"/>
      <c r="C297" s="80"/>
      <c r="D297" s="190"/>
      <c r="E297" s="184"/>
      <c r="F297" s="248"/>
      <c r="G297" s="166"/>
      <c r="H297" s="73" t="s">
        <v>83</v>
      </c>
      <c r="I297" s="73" t="s">
        <v>77</v>
      </c>
      <c r="J297" s="85"/>
      <c r="K297" s="146"/>
    </row>
    <row r="298" spans="1:11">
      <c r="B298" s="97" t="s">
        <v>137</v>
      </c>
      <c r="C298" s="80"/>
      <c r="D298" s="256">
        <f>SUM(D288:D297)</f>
        <v>0</v>
      </c>
      <c r="E298" s="256">
        <f>SUM(E288:E297)</f>
        <v>0</v>
      </c>
      <c r="F298" s="191">
        <f>SUM(F288:F297)</f>
        <v>0</v>
      </c>
      <c r="G298" s="166"/>
      <c r="H298" s="229">
        <v>0</v>
      </c>
      <c r="I298" s="267">
        <f>F298-H298</f>
        <v>0</v>
      </c>
      <c r="J298" s="85"/>
      <c r="K298" s="146"/>
    </row>
    <row r="299" spans="1:11">
      <c r="C299" s="80"/>
      <c r="D299" s="166"/>
      <c r="E299" s="161"/>
      <c r="F299" s="166"/>
      <c r="G299" s="166"/>
      <c r="J299" s="85"/>
      <c r="K299" s="146"/>
    </row>
    <row r="300" spans="1:11">
      <c r="C300" s="80"/>
      <c r="D300" s="166"/>
      <c r="E300" s="161"/>
      <c r="F300" s="166"/>
      <c r="G300" s="166"/>
      <c r="J300" s="85"/>
      <c r="K300" s="146"/>
    </row>
    <row r="301" spans="1:11">
      <c r="C301" s="80"/>
      <c r="D301" s="166"/>
      <c r="E301" s="161"/>
      <c r="F301" s="166"/>
      <c r="G301" s="166"/>
      <c r="H301" s="73" t="s">
        <v>83</v>
      </c>
      <c r="I301" s="73" t="s">
        <v>77</v>
      </c>
    </row>
    <row r="302" spans="1:11" ht="14.1" thickBot="1">
      <c r="B302" s="299" t="s">
        <v>138</v>
      </c>
      <c r="C302" s="80"/>
      <c r="D302" s="216">
        <f>D282+D298</f>
        <v>0</v>
      </c>
      <c r="E302" s="216">
        <f>E298+E267</f>
        <v>0</v>
      </c>
      <c r="F302" s="192">
        <f>F298+F267</f>
        <v>0</v>
      </c>
      <c r="G302" s="166"/>
      <c r="H302" s="229">
        <v>0</v>
      </c>
      <c r="I302" s="267">
        <f>F302-H302</f>
        <v>0</v>
      </c>
      <c r="K302" s="146"/>
    </row>
    <row r="303" spans="1:11" ht="14.1" thickTop="1">
      <c r="C303" s="80"/>
      <c r="D303" s="166"/>
      <c r="E303" s="203">
        <f>F302-D302</f>
        <v>0</v>
      </c>
      <c r="F303" s="185" t="s">
        <v>115</v>
      </c>
      <c r="G303" s="166"/>
      <c r="J303" s="85"/>
      <c r="K303" s="146"/>
    </row>
    <row r="304" spans="1:11">
      <c r="C304" s="80"/>
      <c r="D304" s="166"/>
      <c r="E304" s="218">
        <f>IFERROR(E302/F302,0)</f>
        <v>0</v>
      </c>
      <c r="F304" s="209">
        <f>IFERROR(F302/$A$10,0)</f>
        <v>0</v>
      </c>
      <c r="G304" s="166"/>
      <c r="J304" s="85"/>
      <c r="K304" s="146"/>
    </row>
    <row r="305" spans="1:11">
      <c r="C305" s="80"/>
      <c r="D305" s="166"/>
      <c r="E305" s="161"/>
      <c r="F305" s="166"/>
      <c r="G305" s="166"/>
      <c r="J305" s="85"/>
      <c r="K305" s="146"/>
    </row>
    <row r="306" spans="1:11">
      <c r="B306" s="81" t="s">
        <v>139</v>
      </c>
      <c r="C306" s="80"/>
      <c r="D306" s="161"/>
      <c r="E306" s="161"/>
      <c r="F306" s="334"/>
      <c r="G306" s="166"/>
      <c r="J306" s="85"/>
      <c r="K306" s="146"/>
    </row>
    <row r="307" spans="1:11">
      <c r="B307" s="87" t="s">
        <v>11</v>
      </c>
      <c r="C307" s="80"/>
      <c r="D307" s="289">
        <v>0</v>
      </c>
      <c r="E307" s="202">
        <f>F307-D307</f>
        <v>0</v>
      </c>
      <c r="F307" s="211">
        <f>ROUNDUP((D307*1.1/5),0)*5</f>
        <v>0</v>
      </c>
      <c r="G307" s="166"/>
      <c r="J307" s="85"/>
      <c r="K307" s="146"/>
    </row>
    <row r="308" spans="1:11">
      <c r="B308" s="74"/>
      <c r="C308" s="80"/>
      <c r="D308" s="290">
        <v>0</v>
      </c>
      <c r="E308" s="203">
        <f>F308-D308</f>
        <v>0</v>
      </c>
      <c r="F308" s="211">
        <f t="shared" ref="F308:F309" si="70">ROUNDUP((D308*1.1/5),0)*5</f>
        <v>0</v>
      </c>
      <c r="G308" s="166"/>
      <c r="J308" s="85"/>
      <c r="K308" s="146"/>
    </row>
    <row r="309" spans="1:11">
      <c r="B309" s="89"/>
      <c r="C309" s="80"/>
      <c r="D309" s="291">
        <v>0</v>
      </c>
      <c r="E309" s="206">
        <f>F309-D309</f>
        <v>0</v>
      </c>
      <c r="F309" s="211">
        <f t="shared" si="70"/>
        <v>0</v>
      </c>
      <c r="G309" s="166"/>
      <c r="J309" s="85"/>
      <c r="K309" s="146"/>
    </row>
    <row r="310" spans="1:11">
      <c r="B310" s="89"/>
      <c r="C310" s="80"/>
      <c r="D310" s="190"/>
      <c r="E310" s="184"/>
      <c r="F310" s="248"/>
      <c r="G310" s="166"/>
      <c r="H310" s="73" t="s">
        <v>83</v>
      </c>
      <c r="I310" s="73" t="s">
        <v>77</v>
      </c>
      <c r="J310" s="85"/>
      <c r="K310" s="146"/>
    </row>
    <row r="311" spans="1:11">
      <c r="B311" s="97" t="s">
        <v>140</v>
      </c>
      <c r="C311" s="80"/>
      <c r="D311" s="256">
        <f>SUM(D307:D310)</f>
        <v>0</v>
      </c>
      <c r="E311" s="256">
        <f>SUM(E307:E310)</f>
        <v>0</v>
      </c>
      <c r="F311" s="191">
        <f>SUM(F307:F310)</f>
        <v>0</v>
      </c>
      <c r="G311" s="166"/>
      <c r="H311" s="229">
        <v>0</v>
      </c>
      <c r="I311" s="267">
        <f>F311-H311</f>
        <v>0</v>
      </c>
      <c r="J311" s="85"/>
      <c r="K311" s="146"/>
    </row>
    <row r="312" spans="1:11">
      <c r="C312" s="80"/>
      <c r="D312" s="161"/>
      <c r="E312" s="161"/>
      <c r="F312" s="166"/>
      <c r="G312" s="166"/>
      <c r="J312" s="85"/>
      <c r="K312" s="146"/>
    </row>
    <row r="313" spans="1:11">
      <c r="C313" s="80"/>
      <c r="D313" s="161"/>
      <c r="E313" s="161"/>
      <c r="F313" s="166"/>
      <c r="G313" s="166"/>
      <c r="H313" s="107" t="s">
        <v>11</v>
      </c>
      <c r="J313" s="85"/>
      <c r="K313" s="146"/>
    </row>
    <row r="314" spans="1:11" ht="14.1" thickBot="1">
      <c r="B314" s="299" t="s">
        <v>141</v>
      </c>
      <c r="C314" s="80"/>
      <c r="D314" s="216">
        <f>D302+D311</f>
        <v>0</v>
      </c>
      <c r="E314" s="255">
        <f>E302+E311</f>
        <v>0</v>
      </c>
      <c r="F314" s="245">
        <f>F302+F311</f>
        <v>0</v>
      </c>
      <c r="G314" s="166"/>
      <c r="J314" s="85"/>
      <c r="K314" s="146"/>
    </row>
    <row r="315" spans="1:11" ht="14.1" thickTop="1">
      <c r="C315" s="80"/>
      <c r="D315" s="166"/>
      <c r="E315" s="203">
        <f>F314-D314</f>
        <v>0</v>
      </c>
      <c r="F315" s="185" t="s">
        <v>115</v>
      </c>
      <c r="G315" s="166"/>
      <c r="J315" s="85"/>
      <c r="K315" s="146"/>
    </row>
    <row r="316" spans="1:11">
      <c r="C316" s="80"/>
      <c r="D316" s="166"/>
      <c r="E316" s="218">
        <f>IFERROR(E314/F314,0)</f>
        <v>0</v>
      </c>
      <c r="F316" s="209">
        <f>IFERROR(F314/$A$10,0)</f>
        <v>0</v>
      </c>
      <c r="G316" s="166"/>
      <c r="J316" s="85"/>
      <c r="K316" s="146"/>
    </row>
    <row r="317" spans="1:11">
      <c r="C317" s="80"/>
      <c r="D317" s="166"/>
      <c r="E317" s="161"/>
      <c r="F317" s="166"/>
      <c r="G317" s="166"/>
      <c r="J317" s="85"/>
      <c r="K317" s="146"/>
    </row>
    <row r="318" spans="1:11" s="252" customFormat="1">
      <c r="A318" s="106" t="s">
        <v>11</v>
      </c>
      <c r="B318" s="146"/>
      <c r="C318" s="80"/>
      <c r="D318" s="161"/>
      <c r="E318" s="161"/>
      <c r="F318" s="166"/>
      <c r="G318" s="161"/>
      <c r="H318" s="169" t="s">
        <v>11</v>
      </c>
      <c r="I318" s="80" t="s">
        <v>11</v>
      </c>
      <c r="J318" s="250"/>
    </row>
    <row r="319" spans="1:11">
      <c r="C319" s="80"/>
      <c r="D319" s="161"/>
      <c r="E319" s="161"/>
      <c r="F319" s="166"/>
      <c r="G319" s="161"/>
      <c r="I319" s="80"/>
      <c r="J319" s="85"/>
      <c r="K319" s="146"/>
    </row>
    <row r="320" spans="1:11">
      <c r="B320" s="90" t="s">
        <v>143</v>
      </c>
      <c r="C320" s="80"/>
      <c r="D320" s="266" t="s">
        <v>143</v>
      </c>
      <c r="E320" s="111" t="s">
        <v>144</v>
      </c>
      <c r="F320" s="111" t="s">
        <v>77</v>
      </c>
      <c r="G320" s="166"/>
      <c r="H320" s="169" t="s">
        <v>11</v>
      </c>
      <c r="I320" s="80" t="s">
        <v>11</v>
      </c>
      <c r="J320" s="85" t="s">
        <v>11</v>
      </c>
    </row>
    <row r="321" spans="1:12">
      <c r="B321" s="87" t="s">
        <v>145</v>
      </c>
      <c r="D321" s="108">
        <v>0</v>
      </c>
      <c r="E321" s="265">
        <f>'Budget show 1'!E52</f>
        <v>0</v>
      </c>
      <c r="F321" s="112">
        <f>D389-E321</f>
        <v>0</v>
      </c>
      <c r="G321" s="166"/>
      <c r="I321" s="80"/>
      <c r="J321" s="85"/>
    </row>
    <row r="322" spans="1:12">
      <c r="B322" s="74" t="s">
        <v>90</v>
      </c>
      <c r="D322" s="109">
        <v>0</v>
      </c>
      <c r="F322" s="120">
        <f>IFERROR(F321/E321,0)</f>
        <v>0</v>
      </c>
      <c r="G322" s="166"/>
      <c r="I322" s="80"/>
      <c r="J322" s="85"/>
    </row>
    <row r="323" spans="1:12" s="107" customFormat="1">
      <c r="A323" s="106"/>
      <c r="B323" s="74" t="s">
        <v>146</v>
      </c>
      <c r="D323" s="173">
        <v>0</v>
      </c>
      <c r="E323" s="253"/>
      <c r="F323" s="253"/>
      <c r="G323" s="161"/>
      <c r="J323" s="85"/>
      <c r="L323" s="146"/>
    </row>
    <row r="324" spans="1:12" s="107" customFormat="1">
      <c r="A324" s="106"/>
      <c r="B324" s="74"/>
      <c r="D324" s="336">
        <v>0</v>
      </c>
      <c r="E324" s="253"/>
      <c r="F324" s="253"/>
      <c r="G324" s="161"/>
      <c r="J324" s="85"/>
      <c r="L324" s="146"/>
    </row>
    <row r="325" spans="1:12" s="107" customFormat="1">
      <c r="A325" s="106"/>
      <c r="B325" s="91" t="s">
        <v>147</v>
      </c>
      <c r="D325" s="75">
        <f>SUM(D321:D324)</f>
        <v>0</v>
      </c>
      <c r="E325" s="253"/>
      <c r="F325" s="253"/>
      <c r="G325" s="161"/>
      <c r="J325" s="85"/>
      <c r="L325" s="146"/>
    </row>
    <row r="326" spans="1:12" s="107" customFormat="1">
      <c r="A326" s="106"/>
      <c r="B326" s="92" t="s">
        <v>148</v>
      </c>
      <c r="D326" s="258">
        <f>D160+D199</f>
        <v>0</v>
      </c>
      <c r="E326" s="253"/>
      <c r="F326" s="253"/>
      <c r="G326" s="161"/>
      <c r="L326" s="146"/>
    </row>
    <row r="327" spans="1:12" s="107" customFormat="1">
      <c r="A327" s="106"/>
      <c r="B327" s="92" t="s">
        <v>77</v>
      </c>
      <c r="D327" s="254">
        <f>D325-D326</f>
        <v>0</v>
      </c>
      <c r="E327" s="253"/>
      <c r="F327" s="253"/>
      <c r="G327" s="161"/>
      <c r="L327" s="146"/>
    </row>
    <row r="328" spans="1:12" s="107" customFormat="1">
      <c r="A328" s="106"/>
      <c r="B328" s="74"/>
      <c r="C328" s="67"/>
      <c r="D328" s="77"/>
      <c r="E328" s="253"/>
      <c r="F328" s="253"/>
      <c r="G328" s="161"/>
      <c r="L328" s="146"/>
    </row>
    <row r="329" spans="1:12" s="107" customFormat="1">
      <c r="A329" s="106"/>
      <c r="B329" s="88" t="s">
        <v>38</v>
      </c>
      <c r="C329" s="67"/>
      <c r="D329" s="77"/>
      <c r="E329" s="253"/>
      <c r="F329" s="253"/>
      <c r="G329" s="161"/>
      <c r="L329" s="146"/>
    </row>
    <row r="330" spans="1:12" s="107" customFormat="1">
      <c r="A330" s="106"/>
      <c r="B330" s="143" t="s">
        <v>52</v>
      </c>
      <c r="C330" s="67"/>
      <c r="D330" s="75">
        <f>D210</f>
        <v>0</v>
      </c>
      <c r="E330" s="253"/>
      <c r="F330" s="253"/>
      <c r="G330" s="161"/>
      <c r="L330" s="146"/>
    </row>
    <row r="331" spans="1:12" s="107" customFormat="1">
      <c r="A331" s="106"/>
      <c r="B331" s="143" t="s">
        <v>149</v>
      </c>
      <c r="C331" s="67"/>
      <c r="D331" s="109">
        <f>'Budget show 4'!E34</f>
        <v>0</v>
      </c>
      <c r="E331" s="253"/>
      <c r="F331" s="253"/>
      <c r="G331" s="161"/>
      <c r="L331" s="146"/>
    </row>
    <row r="332" spans="1:12" s="107" customFormat="1">
      <c r="A332" s="106"/>
      <c r="B332" s="143" t="s">
        <v>43</v>
      </c>
      <c r="C332" s="67"/>
      <c r="D332" s="109">
        <f>'Budget show 4'!E35</f>
        <v>0</v>
      </c>
      <c r="E332" s="253"/>
      <c r="F332" s="253"/>
      <c r="G332" s="161"/>
      <c r="L332" s="146"/>
    </row>
    <row r="333" spans="1:12" s="107" customFormat="1">
      <c r="A333" s="106"/>
      <c r="B333" s="74" t="s">
        <v>120</v>
      </c>
      <c r="C333" s="67"/>
      <c r="D333" s="110">
        <f>'Budget show 4'!E36</f>
        <v>0</v>
      </c>
      <c r="E333" s="253"/>
      <c r="F333" s="253"/>
      <c r="G333" s="161"/>
      <c r="L333" s="146"/>
    </row>
    <row r="334" spans="1:12" s="107" customFormat="1">
      <c r="A334" s="106"/>
      <c r="B334" s="74" t="s">
        <v>121</v>
      </c>
      <c r="C334" s="67"/>
      <c r="D334" s="110">
        <f>'Budget show 4'!E37</f>
        <v>0</v>
      </c>
      <c r="E334" s="253"/>
      <c r="F334" s="253"/>
      <c r="G334" s="161"/>
      <c r="L334" s="146"/>
    </row>
    <row r="335" spans="1:12" s="107" customFormat="1">
      <c r="A335" s="106"/>
      <c r="B335" s="74" t="s">
        <v>122</v>
      </c>
      <c r="C335" s="67"/>
      <c r="D335" s="110">
        <f>'Budget show 4'!E38</f>
        <v>0</v>
      </c>
      <c r="E335" s="253"/>
      <c r="F335" s="253"/>
      <c r="G335" s="161"/>
      <c r="L335" s="146"/>
    </row>
    <row r="336" spans="1:12" s="107" customFormat="1">
      <c r="A336" s="106"/>
      <c r="B336" s="74" t="s">
        <v>123</v>
      </c>
      <c r="C336" s="67"/>
      <c r="D336" s="110">
        <f>'Budget show 4'!E39</f>
        <v>0</v>
      </c>
      <c r="E336" s="253"/>
      <c r="F336" s="253"/>
      <c r="G336" s="161"/>
      <c r="L336" s="146"/>
    </row>
    <row r="337" spans="1:12" s="107" customFormat="1">
      <c r="A337" s="106"/>
      <c r="B337" s="143" t="s">
        <v>48</v>
      </c>
      <c r="C337" s="67"/>
      <c r="D337" s="109">
        <f>'Budget show 4'!E40</f>
        <v>0</v>
      </c>
      <c r="E337" s="253"/>
      <c r="F337" s="253"/>
      <c r="G337" s="161"/>
      <c r="L337" s="146"/>
    </row>
    <row r="338" spans="1:12" s="107" customFormat="1">
      <c r="A338" s="106"/>
      <c r="B338" s="143" t="s">
        <v>49</v>
      </c>
      <c r="C338" s="67"/>
      <c r="D338" s="109">
        <f>'Budget show 4'!E41</f>
        <v>0</v>
      </c>
      <c r="E338" s="253"/>
      <c r="F338" s="253"/>
      <c r="G338" s="161"/>
      <c r="L338" s="146"/>
    </row>
    <row r="339" spans="1:12" s="107" customFormat="1">
      <c r="A339" s="106"/>
      <c r="B339" s="143" t="s">
        <v>50</v>
      </c>
      <c r="C339" s="67"/>
      <c r="D339" s="109">
        <f>'Budget show 4'!E42</f>
        <v>0</v>
      </c>
      <c r="E339" s="253"/>
      <c r="F339" s="253"/>
      <c r="G339" s="161"/>
      <c r="L339" s="146"/>
    </row>
    <row r="340" spans="1:12" s="107" customFormat="1">
      <c r="A340" s="106"/>
      <c r="B340" s="143" t="s">
        <v>50</v>
      </c>
      <c r="C340" s="67"/>
      <c r="D340" s="110">
        <f>'Budget show 4'!E43</f>
        <v>0</v>
      </c>
      <c r="E340" s="253"/>
      <c r="F340" s="253"/>
      <c r="G340" s="161"/>
      <c r="L340" s="146"/>
    </row>
    <row r="341" spans="1:12" s="107" customFormat="1">
      <c r="A341" s="106"/>
      <c r="B341" s="143" t="s">
        <v>150</v>
      </c>
      <c r="C341" s="67"/>
      <c r="D341" s="337">
        <f>'Budget show 4'!E44</f>
        <v>0</v>
      </c>
      <c r="E341" s="253"/>
      <c r="F341" s="253"/>
      <c r="G341" s="161"/>
      <c r="L341" s="146"/>
    </row>
    <row r="342" spans="1:12" s="107" customFormat="1">
      <c r="A342" s="106"/>
      <c r="B342" s="91" t="s">
        <v>147</v>
      </c>
      <c r="D342" s="75">
        <f>SUM(D330:D341)</f>
        <v>0</v>
      </c>
      <c r="E342" s="253"/>
      <c r="F342" s="253"/>
      <c r="G342" s="161"/>
      <c r="J342" s="85"/>
      <c r="L342" s="146"/>
    </row>
    <row r="343" spans="1:12" s="107" customFormat="1">
      <c r="A343" s="106"/>
      <c r="B343" s="92" t="s">
        <v>148</v>
      </c>
      <c r="D343" s="258">
        <f>D216+D244</f>
        <v>0</v>
      </c>
      <c r="E343" s="253"/>
      <c r="F343" s="253"/>
      <c r="G343" s="161"/>
      <c r="L343" s="146"/>
    </row>
    <row r="344" spans="1:12" s="107" customFormat="1">
      <c r="A344" s="106"/>
      <c r="B344" s="92" t="s">
        <v>77</v>
      </c>
      <c r="D344" s="254">
        <f>D342-D343</f>
        <v>0</v>
      </c>
      <c r="E344" s="253"/>
      <c r="F344" s="253"/>
      <c r="G344" s="161"/>
      <c r="L344" s="146"/>
    </row>
    <row r="345" spans="1:12" s="107" customFormat="1">
      <c r="A345" s="106"/>
      <c r="B345" s="74"/>
      <c r="C345" s="67"/>
      <c r="D345" s="77"/>
      <c r="E345" s="253"/>
      <c r="F345" s="253"/>
      <c r="G345" s="161"/>
      <c r="L345" s="146"/>
    </row>
    <row r="346" spans="1:12" s="107" customFormat="1">
      <c r="A346" s="106"/>
      <c r="B346" s="88" t="s">
        <v>151</v>
      </c>
      <c r="C346" s="67"/>
      <c r="D346" s="77"/>
      <c r="E346" s="253"/>
      <c r="F346" s="253"/>
      <c r="G346" s="161"/>
      <c r="L346" s="146"/>
    </row>
    <row r="347" spans="1:12" s="107" customFormat="1">
      <c r="A347" s="106"/>
      <c r="B347" s="88"/>
      <c r="C347" s="67"/>
      <c r="D347" s="109">
        <v>0</v>
      </c>
      <c r="E347" s="253"/>
      <c r="F347" s="253"/>
      <c r="G347" s="161"/>
      <c r="L347" s="146"/>
    </row>
    <row r="348" spans="1:12" s="107" customFormat="1">
      <c r="A348" s="106"/>
      <c r="B348" s="74"/>
      <c r="C348" s="67"/>
      <c r="D348" s="338">
        <v>0</v>
      </c>
      <c r="E348" s="253"/>
      <c r="F348" s="253"/>
      <c r="G348" s="161"/>
      <c r="L348" s="146"/>
    </row>
    <row r="349" spans="1:12" s="107" customFormat="1">
      <c r="A349" s="106"/>
      <c r="B349" s="91" t="s">
        <v>147</v>
      </c>
      <c r="D349" s="75">
        <f>SUM(D347:D348)</f>
        <v>0</v>
      </c>
      <c r="E349" s="253"/>
      <c r="F349" s="253"/>
      <c r="G349" s="161"/>
      <c r="J349" s="85"/>
      <c r="L349" s="146"/>
    </row>
    <row r="350" spans="1:12" s="107" customFormat="1">
      <c r="A350" s="106"/>
      <c r="B350" s="92" t="s">
        <v>148</v>
      </c>
      <c r="D350" s="258">
        <f>D253</f>
        <v>0</v>
      </c>
      <c r="E350" s="253"/>
      <c r="F350" s="253"/>
      <c r="G350" s="161"/>
      <c r="L350" s="146"/>
    </row>
    <row r="351" spans="1:12" s="107" customFormat="1">
      <c r="A351" s="106"/>
      <c r="B351" s="92" t="s">
        <v>77</v>
      </c>
      <c r="D351" s="254">
        <f>D349-D350</f>
        <v>0</v>
      </c>
      <c r="E351" s="253"/>
      <c r="F351" s="253"/>
      <c r="G351" s="161"/>
      <c r="L351" s="146"/>
    </row>
    <row r="352" spans="1:12" s="107" customFormat="1">
      <c r="A352" s="106"/>
      <c r="B352" s="288"/>
      <c r="C352" s="67"/>
      <c r="D352" s="305"/>
      <c r="E352" s="253"/>
      <c r="F352" s="253"/>
      <c r="G352" s="161"/>
      <c r="L352" s="146"/>
    </row>
    <row r="353" spans="1:12" s="107" customFormat="1">
      <c r="A353" s="106"/>
      <c r="B353" s="88" t="s">
        <v>152</v>
      </c>
      <c r="C353" s="67"/>
      <c r="D353" s="77"/>
      <c r="E353" s="253"/>
      <c r="F353" s="253"/>
      <c r="G353" s="161"/>
      <c r="L353" s="146"/>
    </row>
    <row r="354" spans="1:12" s="107" customFormat="1">
      <c r="A354" s="106"/>
      <c r="B354" s="88"/>
      <c r="C354" s="67"/>
      <c r="D354" s="109">
        <v>0</v>
      </c>
      <c r="E354" s="253"/>
      <c r="F354" s="253"/>
      <c r="G354" s="161"/>
      <c r="L354" s="146"/>
    </row>
    <row r="355" spans="1:12" s="107" customFormat="1">
      <c r="A355" s="106"/>
      <c r="B355" s="74"/>
      <c r="C355" s="67"/>
      <c r="D355" s="338">
        <f>'Budget show 1'!E55</f>
        <v>0</v>
      </c>
      <c r="E355" s="253"/>
      <c r="F355" s="253"/>
      <c r="G355" s="161"/>
      <c r="L355" s="146"/>
    </row>
    <row r="356" spans="1:12" s="107" customFormat="1">
      <c r="A356" s="106"/>
      <c r="B356" s="91" t="s">
        <v>147</v>
      </c>
      <c r="D356" s="75">
        <f>SUM(D354:D355)</f>
        <v>0</v>
      </c>
      <c r="E356" s="253"/>
      <c r="F356" s="253"/>
      <c r="G356" s="161"/>
      <c r="J356" s="85"/>
      <c r="L356" s="146"/>
    </row>
    <row r="357" spans="1:12" s="107" customFormat="1">
      <c r="A357" s="106"/>
      <c r="B357" s="92" t="s">
        <v>148</v>
      </c>
      <c r="D357" s="258">
        <f>D264</f>
        <v>0</v>
      </c>
      <c r="E357" s="253"/>
      <c r="F357" s="253"/>
      <c r="G357" s="161"/>
      <c r="L357" s="146"/>
    </row>
    <row r="358" spans="1:12" s="107" customFormat="1">
      <c r="A358" s="106"/>
      <c r="B358" s="92" t="s">
        <v>77</v>
      </c>
      <c r="D358" s="254">
        <f>D356-D357</f>
        <v>0</v>
      </c>
      <c r="E358" s="253"/>
      <c r="F358" s="253"/>
      <c r="G358" s="161"/>
      <c r="L358" s="146"/>
    </row>
    <row r="359" spans="1:12" s="107" customFormat="1">
      <c r="A359" s="106"/>
      <c r="B359" s="74"/>
      <c r="C359" s="67"/>
      <c r="D359" s="77"/>
      <c r="E359" s="253"/>
      <c r="F359" s="253"/>
      <c r="G359" s="161"/>
      <c r="L359" s="146"/>
    </row>
    <row r="360" spans="1:12" s="107" customFormat="1">
      <c r="A360" s="106"/>
      <c r="B360" s="88" t="s">
        <v>153</v>
      </c>
      <c r="C360" s="67"/>
      <c r="D360" s="77"/>
      <c r="E360" s="253"/>
      <c r="F360" s="253"/>
      <c r="G360" s="161"/>
      <c r="L360" s="146"/>
    </row>
    <row r="361" spans="1:12" s="107" customFormat="1">
      <c r="A361" s="106"/>
      <c r="B361" s="88"/>
      <c r="C361" s="67"/>
      <c r="D361" s="109">
        <v>0</v>
      </c>
      <c r="E361" s="253"/>
      <c r="F361" s="253"/>
      <c r="G361" s="161"/>
      <c r="L361" s="146"/>
    </row>
    <row r="362" spans="1:12" s="107" customFormat="1">
      <c r="A362" s="106"/>
      <c r="B362" s="74"/>
      <c r="C362" s="67"/>
      <c r="D362" s="338">
        <f>'Budget show 1'!E60</f>
        <v>0</v>
      </c>
      <c r="E362" s="253"/>
      <c r="F362" s="253"/>
      <c r="G362" s="161"/>
      <c r="L362" s="146"/>
    </row>
    <row r="363" spans="1:12" s="107" customFormat="1">
      <c r="A363" s="106"/>
      <c r="B363" s="91" t="s">
        <v>147</v>
      </c>
      <c r="D363" s="75">
        <f>SUM(D361:D362)</f>
        <v>0</v>
      </c>
      <c r="E363" s="253"/>
      <c r="F363" s="253"/>
      <c r="G363" s="161"/>
      <c r="J363" s="85"/>
      <c r="L363" s="146"/>
    </row>
    <row r="364" spans="1:12" s="107" customFormat="1">
      <c r="A364" s="106"/>
      <c r="B364" s="92" t="s">
        <v>148</v>
      </c>
      <c r="D364" s="258">
        <f>D279</f>
        <v>0</v>
      </c>
      <c r="E364" s="253"/>
      <c r="F364" s="253"/>
      <c r="G364" s="161"/>
      <c r="L364" s="146"/>
    </row>
    <row r="365" spans="1:12" s="107" customFormat="1">
      <c r="A365" s="106"/>
      <c r="B365" s="92" t="s">
        <v>77</v>
      </c>
      <c r="D365" s="254">
        <f>D363-D364</f>
        <v>0</v>
      </c>
      <c r="E365" s="253"/>
      <c r="F365" s="253"/>
      <c r="G365" s="161"/>
      <c r="L365" s="146"/>
    </row>
    <row r="366" spans="1:12" s="107" customFormat="1">
      <c r="A366" s="106"/>
      <c r="B366" s="288"/>
      <c r="C366" s="67"/>
      <c r="D366" s="77"/>
      <c r="E366" s="253"/>
      <c r="F366" s="253"/>
      <c r="G366" s="161"/>
      <c r="L366" s="146"/>
    </row>
    <row r="367" spans="1:12" s="107" customFormat="1">
      <c r="A367" s="106"/>
      <c r="B367" s="88" t="s">
        <v>154</v>
      </c>
      <c r="C367" s="67"/>
      <c r="D367" s="77"/>
      <c r="E367" s="253"/>
      <c r="F367" s="253"/>
      <c r="G367" s="161"/>
      <c r="L367" s="146"/>
    </row>
    <row r="368" spans="1:12" s="107" customFormat="1">
      <c r="A368" s="106"/>
      <c r="B368" s="74"/>
      <c r="C368" s="67"/>
      <c r="D368" s="109">
        <v>0</v>
      </c>
      <c r="E368" s="253"/>
      <c r="F368" s="253"/>
      <c r="G368" s="161"/>
      <c r="L368" s="146"/>
    </row>
    <row r="369" spans="1:12" s="107" customFormat="1">
      <c r="A369" s="106"/>
      <c r="B369" s="74"/>
      <c r="C369" s="67"/>
      <c r="D369" s="109">
        <v>0</v>
      </c>
      <c r="E369" s="253"/>
      <c r="F369" s="253"/>
      <c r="G369" s="161"/>
      <c r="L369" s="146"/>
    </row>
    <row r="370" spans="1:12" s="107" customFormat="1">
      <c r="A370" s="106"/>
      <c r="B370" s="74"/>
      <c r="C370" s="67"/>
      <c r="D370" s="109">
        <v>0</v>
      </c>
      <c r="E370" s="253"/>
      <c r="F370" s="253"/>
      <c r="G370" s="161"/>
      <c r="L370" s="146"/>
    </row>
    <row r="371" spans="1:12" s="107" customFormat="1">
      <c r="A371" s="106"/>
      <c r="B371" s="74"/>
      <c r="C371" s="67"/>
      <c r="D371" s="109">
        <v>0</v>
      </c>
      <c r="E371" s="253"/>
      <c r="F371" s="253"/>
      <c r="G371" s="161"/>
      <c r="L371" s="146"/>
    </row>
    <row r="372" spans="1:12" s="107" customFormat="1">
      <c r="A372" s="106"/>
      <c r="B372" s="74"/>
      <c r="C372" s="67"/>
      <c r="D372" s="109">
        <v>0</v>
      </c>
      <c r="E372" s="253"/>
      <c r="F372" s="253"/>
      <c r="G372" s="161"/>
      <c r="L372" s="146"/>
    </row>
    <row r="373" spans="1:12" s="107" customFormat="1">
      <c r="A373" s="106"/>
      <c r="B373" s="74"/>
      <c r="C373" s="67"/>
      <c r="D373" s="338">
        <v>0</v>
      </c>
      <c r="E373" s="253"/>
      <c r="F373" s="253"/>
      <c r="G373" s="161"/>
      <c r="L373" s="146"/>
    </row>
    <row r="374" spans="1:12" s="107" customFormat="1">
      <c r="A374" s="106"/>
      <c r="B374" s="91" t="s">
        <v>147</v>
      </c>
      <c r="D374" s="75">
        <f>SUM(D368:D373)</f>
        <v>0</v>
      </c>
      <c r="E374" s="253"/>
      <c r="F374" s="253"/>
      <c r="G374" s="161"/>
      <c r="J374" s="85"/>
      <c r="L374" s="146"/>
    </row>
    <row r="375" spans="1:12" s="107" customFormat="1">
      <c r="A375" s="106"/>
      <c r="B375" s="92" t="s">
        <v>148</v>
      </c>
      <c r="D375" s="258">
        <f>D298</f>
        <v>0</v>
      </c>
      <c r="E375" s="253"/>
      <c r="F375" s="253"/>
      <c r="G375" s="161"/>
      <c r="L375" s="146"/>
    </row>
    <row r="376" spans="1:12" s="107" customFormat="1">
      <c r="A376" s="106"/>
      <c r="B376" s="92" t="s">
        <v>77</v>
      </c>
      <c r="D376" s="254">
        <f>D374-D375</f>
        <v>0</v>
      </c>
      <c r="E376" s="253"/>
      <c r="F376" s="253"/>
      <c r="G376" s="161"/>
      <c r="L376" s="146"/>
    </row>
    <row r="377" spans="1:12" s="107" customFormat="1">
      <c r="A377" s="106"/>
      <c r="B377" s="74"/>
      <c r="C377" s="67"/>
      <c r="D377" s="77"/>
      <c r="E377" s="253"/>
      <c r="F377" s="253"/>
      <c r="G377" s="161"/>
      <c r="L377" s="146"/>
    </row>
    <row r="378" spans="1:12" s="107" customFormat="1">
      <c r="A378" s="106"/>
      <c r="B378" s="88" t="s">
        <v>27</v>
      </c>
      <c r="C378" s="67"/>
      <c r="D378" s="77"/>
      <c r="E378" s="253"/>
      <c r="F378" s="253"/>
      <c r="G378" s="161"/>
      <c r="L378" s="146"/>
    </row>
    <row r="379" spans="1:12" s="107" customFormat="1">
      <c r="A379" s="106"/>
      <c r="B379" s="74"/>
      <c r="C379" s="67"/>
      <c r="D379" s="109">
        <v>0</v>
      </c>
      <c r="E379" s="253"/>
      <c r="F379" s="253"/>
      <c r="G379" s="161"/>
      <c r="L379" s="146"/>
    </row>
    <row r="380" spans="1:12" s="107" customFormat="1">
      <c r="A380" s="106"/>
      <c r="B380" s="74"/>
      <c r="C380" s="67"/>
      <c r="D380" s="109">
        <v>0</v>
      </c>
      <c r="E380" s="253"/>
      <c r="F380" s="253"/>
      <c r="G380" s="161"/>
      <c r="L380" s="146"/>
    </row>
    <row r="381" spans="1:12" s="107" customFormat="1">
      <c r="A381" s="106"/>
      <c r="B381" s="74"/>
      <c r="C381" s="67"/>
      <c r="D381" s="109">
        <v>0</v>
      </c>
      <c r="E381" s="253"/>
      <c r="F381" s="253"/>
      <c r="G381" s="161"/>
      <c r="L381" s="146"/>
    </row>
    <row r="382" spans="1:12" s="107" customFormat="1">
      <c r="A382" s="106"/>
      <c r="B382" s="74"/>
      <c r="C382" s="67"/>
      <c r="D382" s="109">
        <v>0</v>
      </c>
      <c r="E382" s="253"/>
      <c r="F382" s="253"/>
      <c r="G382" s="161"/>
      <c r="L382" s="146"/>
    </row>
    <row r="383" spans="1:12" s="107" customFormat="1">
      <c r="A383" s="106"/>
      <c r="B383" s="76"/>
      <c r="C383" s="67"/>
      <c r="D383" s="338">
        <v>0</v>
      </c>
      <c r="E383" s="253"/>
      <c r="F383" s="253"/>
      <c r="G383" s="161"/>
      <c r="L383" s="146"/>
    </row>
    <row r="384" spans="1:12" s="107" customFormat="1">
      <c r="A384" s="106"/>
      <c r="B384" s="91" t="s">
        <v>147</v>
      </c>
      <c r="D384" s="75">
        <f>SUM(D379:D383)</f>
        <v>0</v>
      </c>
      <c r="E384" s="253"/>
      <c r="F384" s="253"/>
      <c r="G384" s="161"/>
      <c r="J384" s="85"/>
      <c r="L384" s="146"/>
    </row>
    <row r="385" spans="1:12" s="107" customFormat="1">
      <c r="A385" s="106"/>
      <c r="B385" s="92" t="s">
        <v>148</v>
      </c>
      <c r="D385" s="258">
        <f>D311</f>
        <v>0</v>
      </c>
      <c r="E385" s="253"/>
      <c r="F385" s="253"/>
      <c r="G385" s="161"/>
      <c r="L385" s="146"/>
    </row>
    <row r="386" spans="1:12" s="107" customFormat="1">
      <c r="A386" s="106"/>
      <c r="B386" s="92" t="s">
        <v>77</v>
      </c>
      <c r="D386" s="254">
        <f>D384-D385</f>
        <v>0</v>
      </c>
      <c r="E386" s="253"/>
      <c r="F386" s="253"/>
      <c r="G386" s="161"/>
      <c r="L386" s="146"/>
    </row>
    <row r="387" spans="1:12" s="107" customFormat="1">
      <c r="A387" s="106"/>
      <c r="B387" s="89" t="s">
        <v>11</v>
      </c>
      <c r="C387" s="107" t="s">
        <v>11</v>
      </c>
      <c r="D387" s="83" t="s">
        <v>11</v>
      </c>
      <c r="E387" s="253"/>
      <c r="F387" s="253"/>
      <c r="G387" s="161"/>
      <c r="L387" s="146"/>
    </row>
    <row r="388" spans="1:12" s="107" customFormat="1">
      <c r="A388" s="106"/>
      <c r="B388" s="91" t="s">
        <v>147</v>
      </c>
      <c r="D388" s="257">
        <f>D325+D342+D349+D356+D363+D374+D384</f>
        <v>0</v>
      </c>
      <c r="E388" s="253"/>
      <c r="F388" s="253"/>
      <c r="G388" s="161"/>
      <c r="L388" s="146"/>
    </row>
    <row r="389" spans="1:12" s="107" customFormat="1">
      <c r="A389" s="106"/>
      <c r="B389" s="92" t="s">
        <v>148</v>
      </c>
      <c r="D389" s="258">
        <f>D314</f>
        <v>0</v>
      </c>
      <c r="E389" s="253"/>
      <c r="F389" s="253"/>
      <c r="G389" s="161"/>
      <c r="L389" s="146"/>
    </row>
    <row r="390" spans="1:12" s="107" customFormat="1">
      <c r="A390" s="106"/>
      <c r="B390" s="92" t="s">
        <v>77</v>
      </c>
      <c r="D390" s="254">
        <f>D388-D389</f>
        <v>0</v>
      </c>
      <c r="E390" s="253"/>
      <c r="F390" s="253"/>
      <c r="G390" s="161"/>
      <c r="H390" s="107" t="s">
        <v>11</v>
      </c>
      <c r="L390" s="146"/>
    </row>
    <row r="391" spans="1:12" s="107" customFormat="1">
      <c r="A391" s="106"/>
      <c r="B391" s="146"/>
      <c r="D391" s="253"/>
      <c r="E391" s="253"/>
      <c r="F391" s="253"/>
      <c r="G391" s="161"/>
      <c r="H391" s="146" t="s">
        <v>11</v>
      </c>
      <c r="L391" s="146"/>
    </row>
    <row r="392" spans="1:12" s="107" customFormat="1">
      <c r="A392" s="106"/>
      <c r="B392" s="146"/>
      <c r="D392" s="253"/>
      <c r="E392" s="253"/>
      <c r="F392" s="253"/>
      <c r="G392" s="161"/>
      <c r="H392" s="146"/>
      <c r="L392" s="146"/>
    </row>
    <row r="393" spans="1:12" s="107" customFormat="1">
      <c r="A393" s="106"/>
      <c r="B393" s="93" t="s">
        <v>155</v>
      </c>
      <c r="D393" s="253"/>
      <c r="E393" s="253"/>
      <c r="F393" s="253"/>
      <c r="G393" s="161"/>
      <c r="L393" s="146"/>
    </row>
    <row r="394" spans="1:12" s="107" customFormat="1">
      <c r="A394" s="106"/>
      <c r="B394" s="94" t="s">
        <v>156</v>
      </c>
      <c r="D394" s="122">
        <f>F314</f>
        <v>0</v>
      </c>
      <c r="F394" s="253"/>
      <c r="G394" s="161"/>
      <c r="L394" s="146"/>
    </row>
    <row r="395" spans="1:12" s="107" customFormat="1">
      <c r="A395" s="106"/>
      <c r="B395" s="95" t="s">
        <v>157</v>
      </c>
      <c r="D395" s="123">
        <f>'Budget show 1'!I19</f>
        <v>0</v>
      </c>
      <c r="F395" s="253"/>
      <c r="G395" s="161"/>
      <c r="L395" s="146"/>
    </row>
    <row r="396" spans="1:12" s="107" customFormat="1">
      <c r="A396" s="106"/>
      <c r="B396" s="95" t="s">
        <v>77</v>
      </c>
      <c r="D396" s="96">
        <f>D394-D395</f>
        <v>0</v>
      </c>
      <c r="E396" s="121">
        <f>IFERROR(D396/D395,0)</f>
        <v>0</v>
      </c>
      <c r="F396" s="253"/>
      <c r="G396" s="161"/>
      <c r="L396" s="146"/>
    </row>
    <row r="397" spans="1:12" s="107" customFormat="1">
      <c r="A397" s="106"/>
      <c r="B397" s="146"/>
      <c r="G397" s="161"/>
      <c r="L397" s="146"/>
    </row>
    <row r="398" spans="1:12" s="107" customFormat="1">
      <c r="A398" s="106"/>
      <c r="B398" s="146"/>
      <c r="G398" s="161"/>
      <c r="L398" s="146"/>
    </row>
    <row r="399" spans="1:12" s="107" customFormat="1">
      <c r="A399" s="106"/>
      <c r="B399" s="97" t="s">
        <v>158</v>
      </c>
      <c r="D399" s="98">
        <f ca="1">TODAY()</f>
        <v>46106</v>
      </c>
      <c r="G399" s="161"/>
      <c r="L399" s="146"/>
    </row>
    <row r="400" spans="1:12" s="107" customFormat="1">
      <c r="A400" s="106"/>
      <c r="B400" s="146"/>
      <c r="G400" s="161"/>
      <c r="L400" s="146"/>
    </row>
    <row r="401" spans="1:12" s="107" customFormat="1">
      <c r="A401" s="106"/>
      <c r="B401" s="146"/>
      <c r="L401" s="146"/>
    </row>
    <row r="402" spans="1:12" s="107" customFormat="1">
      <c r="A402" s="106"/>
      <c r="B402" s="146"/>
      <c r="L402" s="146"/>
    </row>
    <row r="403" spans="1:12" s="107" customFormat="1">
      <c r="A403" s="106"/>
      <c r="B403" s="146"/>
      <c r="L403" s="146"/>
    </row>
    <row r="405" spans="1:12" s="107" customFormat="1">
      <c r="A405" s="106"/>
      <c r="B405" s="146"/>
      <c r="L405" s="146"/>
    </row>
  </sheetData>
  <conditionalFormatting sqref="D327">
    <cfRule type="cellIs" dxfId="120" priority="14" stopIfTrue="1" operator="equal">
      <formula>0</formula>
    </cfRule>
    <cfRule type="cellIs" dxfId="119" priority="13" stopIfTrue="1" operator="notEqual">
      <formula>0</formula>
    </cfRule>
  </conditionalFormatting>
  <conditionalFormatting sqref="D344">
    <cfRule type="cellIs" dxfId="118" priority="12" stopIfTrue="1" operator="equal">
      <formula>0</formula>
    </cfRule>
    <cfRule type="cellIs" dxfId="117" priority="11" stopIfTrue="1" operator="notEqual">
      <formula>0</formula>
    </cfRule>
  </conditionalFormatting>
  <conditionalFormatting sqref="D351">
    <cfRule type="cellIs" dxfId="116" priority="10" stopIfTrue="1" operator="equal">
      <formula>0</formula>
    </cfRule>
    <cfRule type="cellIs" dxfId="115" priority="9" stopIfTrue="1" operator="notEqual">
      <formula>0</formula>
    </cfRule>
  </conditionalFormatting>
  <conditionalFormatting sqref="D358">
    <cfRule type="cellIs" dxfId="114" priority="7" stopIfTrue="1" operator="notEqual">
      <formula>0</formula>
    </cfRule>
    <cfRule type="cellIs" dxfId="113" priority="8" stopIfTrue="1" operator="equal">
      <formula>0</formula>
    </cfRule>
  </conditionalFormatting>
  <conditionalFormatting sqref="D365">
    <cfRule type="cellIs" dxfId="112" priority="6" stopIfTrue="1" operator="equal">
      <formula>0</formula>
    </cfRule>
    <cfRule type="cellIs" dxfId="111" priority="5" stopIfTrue="1" operator="notEqual">
      <formula>0</formula>
    </cfRule>
  </conditionalFormatting>
  <conditionalFormatting sqref="D376">
    <cfRule type="cellIs" dxfId="110" priority="4" stopIfTrue="1" operator="equal">
      <formula>0</formula>
    </cfRule>
    <cfRule type="cellIs" dxfId="109" priority="3" stopIfTrue="1" operator="notEqual">
      <formula>0</formula>
    </cfRule>
  </conditionalFormatting>
  <conditionalFormatting sqref="D386">
    <cfRule type="cellIs" dxfId="108" priority="2" stopIfTrue="1" operator="equal">
      <formula>0</formula>
    </cfRule>
    <cfRule type="cellIs" dxfId="107" priority="1" stopIfTrue="1" operator="notEqual">
      <formula>0</formula>
    </cfRule>
  </conditionalFormatting>
  <conditionalFormatting sqref="D390">
    <cfRule type="cellIs" dxfId="106" priority="115" stopIfTrue="1" operator="equal">
      <formula>0</formula>
    </cfRule>
    <cfRule type="cellIs" dxfId="105" priority="114" stopIfTrue="1" operator="notEqual">
      <formula>0</formula>
    </cfRule>
  </conditionalFormatting>
  <conditionalFormatting sqref="D396:E396">
    <cfRule type="cellIs" dxfId="104" priority="79" stopIfTrue="1" operator="lessThanOrEqual">
      <formula>0</formula>
    </cfRule>
    <cfRule type="cellIs" dxfId="103" priority="80" stopIfTrue="1" operator="greaterThan">
      <formula>0</formula>
    </cfRule>
  </conditionalFormatting>
  <conditionalFormatting sqref="F321:F322">
    <cfRule type="cellIs" dxfId="102" priority="82" stopIfTrue="1" operator="greaterThan">
      <formula>0</formula>
    </cfRule>
    <cfRule type="cellIs" dxfId="101" priority="81" stopIfTrue="1" operator="lessThanOrEqual">
      <formula>0</formula>
    </cfRule>
  </conditionalFormatting>
  <conditionalFormatting sqref="I10">
    <cfRule type="cellIs" dxfId="100" priority="85" operator="greaterThan">
      <formula>0</formula>
    </cfRule>
    <cfRule type="cellIs" dxfId="99" priority="86" operator="lessThanOrEqual">
      <formula>0</formula>
    </cfRule>
  </conditionalFormatting>
  <conditionalFormatting sqref="I15:I20">
    <cfRule type="cellIs" dxfId="98" priority="63" operator="greaterThan">
      <formula>0</formula>
    </cfRule>
    <cfRule type="cellIs" dxfId="97" priority="64" operator="lessThanOrEqual">
      <formula>0</formula>
    </cfRule>
  </conditionalFormatting>
  <conditionalFormatting sqref="I22">
    <cfRule type="cellIs" dxfId="96" priority="59" operator="greaterThan">
      <formula>0</formula>
    </cfRule>
    <cfRule type="cellIs" dxfId="95" priority="60" operator="lessThanOrEqual">
      <formula>0</formula>
    </cfRule>
  </conditionalFormatting>
  <conditionalFormatting sqref="I25">
    <cfRule type="cellIs" dxfId="94" priority="113" operator="lessThanOrEqual">
      <formula>0</formula>
    </cfRule>
    <cfRule type="cellIs" dxfId="93" priority="112" operator="greaterThan">
      <formula>0</formula>
    </cfRule>
  </conditionalFormatting>
  <conditionalFormatting sqref="I29:I37">
    <cfRule type="cellIs" dxfId="92" priority="62" operator="lessThanOrEqual">
      <formula>0</formula>
    </cfRule>
    <cfRule type="cellIs" dxfId="91" priority="61" operator="greaterThan">
      <formula>0</formula>
    </cfRule>
  </conditionalFormatting>
  <conditionalFormatting sqref="I39">
    <cfRule type="cellIs" dxfId="90" priority="58" operator="lessThanOrEqual">
      <formula>0</formula>
    </cfRule>
    <cfRule type="cellIs" dxfId="89" priority="57" operator="greaterThan">
      <formula>0</formula>
    </cfRule>
  </conditionalFormatting>
  <conditionalFormatting sqref="I41">
    <cfRule type="cellIs" dxfId="88" priority="111" operator="lessThanOrEqual">
      <formula>0</formula>
    </cfRule>
    <cfRule type="cellIs" dxfId="87" priority="110" operator="greaterThan">
      <formula>0</formula>
    </cfRule>
  </conditionalFormatting>
  <conditionalFormatting sqref="I45:I47">
    <cfRule type="cellIs" dxfId="86" priority="56" operator="lessThanOrEqual">
      <formula>0</formula>
    </cfRule>
    <cfRule type="cellIs" dxfId="85" priority="55" operator="greaterThan">
      <formula>0</formula>
    </cfRule>
  </conditionalFormatting>
  <conditionalFormatting sqref="I49">
    <cfRule type="cellIs" dxfId="84" priority="108" operator="greaterThan">
      <formula>0</formula>
    </cfRule>
    <cfRule type="cellIs" dxfId="83" priority="109" operator="lessThanOrEqual">
      <formula>0</formula>
    </cfRule>
  </conditionalFormatting>
  <conditionalFormatting sqref="I53:I66">
    <cfRule type="cellIs" dxfId="82" priority="54" operator="lessThanOrEqual">
      <formula>0</formula>
    </cfRule>
    <cfRule type="cellIs" dxfId="81" priority="53" operator="greaterThan">
      <formula>0</formula>
    </cfRule>
  </conditionalFormatting>
  <conditionalFormatting sqref="I68">
    <cfRule type="cellIs" dxfId="80" priority="107" operator="lessThanOrEqual">
      <formula>0</formula>
    </cfRule>
    <cfRule type="cellIs" dxfId="79" priority="106" operator="greaterThan">
      <formula>0</formula>
    </cfRule>
  </conditionalFormatting>
  <conditionalFormatting sqref="I72:I83">
    <cfRule type="cellIs" dxfId="78" priority="51" operator="greaterThan">
      <formula>0</formula>
    </cfRule>
    <cfRule type="cellIs" dxfId="77" priority="52" operator="lessThanOrEqual">
      <formula>0</formula>
    </cfRule>
  </conditionalFormatting>
  <conditionalFormatting sqref="I85">
    <cfRule type="cellIs" dxfId="76" priority="104" operator="greaterThan">
      <formula>0</formula>
    </cfRule>
    <cfRule type="cellIs" dxfId="75" priority="105" operator="lessThanOrEqual">
      <formula>0</formula>
    </cfRule>
  </conditionalFormatting>
  <conditionalFormatting sqref="I89:I92">
    <cfRule type="cellIs" dxfId="74" priority="49" operator="greaterThan">
      <formula>0</formula>
    </cfRule>
    <cfRule type="cellIs" dxfId="73" priority="50" operator="lessThanOrEqual">
      <formula>0</formula>
    </cfRule>
  </conditionalFormatting>
  <conditionalFormatting sqref="I94">
    <cfRule type="cellIs" dxfId="72" priority="102" operator="greaterThan">
      <formula>0</formula>
    </cfRule>
    <cfRule type="cellIs" dxfId="71" priority="103" operator="lessThanOrEqual">
      <formula>0</formula>
    </cfRule>
  </conditionalFormatting>
  <conditionalFormatting sqref="I98:I104">
    <cfRule type="cellIs" dxfId="70" priority="48" operator="lessThanOrEqual">
      <formula>0</formula>
    </cfRule>
    <cfRule type="cellIs" dxfId="69" priority="47" operator="greaterThan">
      <formula>0</formula>
    </cfRule>
  </conditionalFormatting>
  <conditionalFormatting sqref="I106">
    <cfRule type="cellIs" dxfId="68" priority="100" operator="greaterThan">
      <formula>0</formula>
    </cfRule>
    <cfRule type="cellIs" dxfId="67" priority="101" operator="lessThanOrEqual">
      <formula>0</formula>
    </cfRule>
  </conditionalFormatting>
  <conditionalFormatting sqref="I110:I119">
    <cfRule type="cellIs" dxfId="66" priority="45" operator="greaterThan">
      <formula>0</formula>
    </cfRule>
    <cfRule type="cellIs" dxfId="65" priority="46" operator="lessThanOrEqual">
      <formula>0</formula>
    </cfRule>
  </conditionalFormatting>
  <conditionalFormatting sqref="I121">
    <cfRule type="cellIs" dxfId="64" priority="23" operator="greaterThan">
      <formula>0</formula>
    </cfRule>
    <cfRule type="cellIs" dxfId="63" priority="24" operator="lessThanOrEqual">
      <formula>0</formula>
    </cfRule>
  </conditionalFormatting>
  <conditionalFormatting sqref="I123">
    <cfRule type="cellIs" dxfId="62" priority="25" operator="greaterThan">
      <formula>0</formula>
    </cfRule>
    <cfRule type="cellIs" dxfId="61" priority="26" operator="lessThanOrEqual">
      <formula>0</formula>
    </cfRule>
  </conditionalFormatting>
  <conditionalFormatting sqref="I126:I128">
    <cfRule type="cellIs" dxfId="60" priority="44" operator="lessThanOrEqual">
      <formula>0</formula>
    </cfRule>
    <cfRule type="cellIs" dxfId="59" priority="43" operator="greaterThan">
      <formula>0</formula>
    </cfRule>
  </conditionalFormatting>
  <conditionalFormatting sqref="I130">
    <cfRule type="cellIs" dxfId="58" priority="41" operator="greaterThan">
      <formula>0</formula>
    </cfRule>
    <cfRule type="cellIs" dxfId="57" priority="42" operator="lessThanOrEqual">
      <formula>0</formula>
    </cfRule>
  </conditionalFormatting>
  <conditionalFormatting sqref="I132">
    <cfRule type="cellIs" dxfId="56" priority="98" operator="greaterThan">
      <formula>0</formula>
    </cfRule>
    <cfRule type="cellIs" dxfId="55" priority="99" operator="lessThanOrEqual">
      <formula>0</formula>
    </cfRule>
  </conditionalFormatting>
  <conditionalFormatting sqref="I136:I145">
    <cfRule type="cellIs" dxfId="54" priority="39" operator="greaterThan">
      <formula>0</formula>
    </cfRule>
    <cfRule type="cellIs" dxfId="53" priority="40" operator="lessThanOrEqual">
      <formula>0</formula>
    </cfRule>
  </conditionalFormatting>
  <conditionalFormatting sqref="I147">
    <cfRule type="cellIs" dxfId="52" priority="96" operator="greaterThan">
      <formula>0</formula>
    </cfRule>
    <cfRule type="cellIs" dxfId="51" priority="97" operator="lessThanOrEqual">
      <formula>0</formula>
    </cfRule>
  </conditionalFormatting>
  <conditionalFormatting sqref="I151:I153">
    <cfRule type="cellIs" dxfId="50" priority="19" operator="greaterThan">
      <formula>0</formula>
    </cfRule>
    <cfRule type="cellIs" dxfId="49" priority="20" operator="lessThanOrEqual">
      <formula>0</formula>
    </cfRule>
  </conditionalFormatting>
  <conditionalFormatting sqref="I155">
    <cfRule type="cellIs" dxfId="48" priority="18" operator="lessThanOrEqual">
      <formula>0</formula>
    </cfRule>
    <cfRule type="cellIs" dxfId="47" priority="17" operator="greaterThan">
      <formula>0</formula>
    </cfRule>
  </conditionalFormatting>
  <conditionalFormatting sqref="I157">
    <cfRule type="cellIs" dxfId="46" priority="22" operator="lessThanOrEqual">
      <formula>0</formula>
    </cfRule>
    <cfRule type="cellIs" dxfId="45" priority="21" operator="greaterThan">
      <formula>0</formula>
    </cfRule>
  </conditionalFormatting>
  <conditionalFormatting sqref="I160">
    <cfRule type="cellIs" dxfId="44" priority="94" operator="greaterThan">
      <formula>0</formula>
    </cfRule>
    <cfRule type="cellIs" dxfId="43" priority="95" operator="lessThanOrEqual">
      <formula>0</formula>
    </cfRule>
  </conditionalFormatting>
  <conditionalFormatting sqref="I166:I170">
    <cfRule type="cellIs" dxfId="42" priority="37" operator="greaterThan">
      <formula>0</formula>
    </cfRule>
    <cfRule type="cellIs" dxfId="41" priority="38" operator="lessThanOrEqual">
      <formula>0</formula>
    </cfRule>
  </conditionalFormatting>
  <conditionalFormatting sqref="I173:I177">
    <cfRule type="cellIs" dxfId="40" priority="36" operator="lessThanOrEqual">
      <formula>0</formula>
    </cfRule>
    <cfRule type="cellIs" dxfId="39" priority="35" operator="greaterThan">
      <formula>0</formula>
    </cfRule>
  </conditionalFormatting>
  <conditionalFormatting sqref="I180:I182">
    <cfRule type="cellIs" dxfId="38" priority="34" operator="lessThanOrEqual">
      <formula>0</formula>
    </cfRule>
    <cfRule type="cellIs" dxfId="37" priority="33" operator="greaterThan">
      <formula>0</formula>
    </cfRule>
  </conditionalFormatting>
  <conditionalFormatting sqref="I185:I188">
    <cfRule type="cellIs" dxfId="36" priority="31" operator="greaterThan">
      <formula>0</formula>
    </cfRule>
    <cfRule type="cellIs" dxfId="35" priority="32" operator="lessThanOrEqual">
      <formula>0</formula>
    </cfRule>
  </conditionalFormatting>
  <conditionalFormatting sqref="I191:I195">
    <cfRule type="cellIs" dxfId="34" priority="30" operator="lessThanOrEqual">
      <formula>0</formula>
    </cfRule>
    <cfRule type="cellIs" dxfId="33" priority="29" operator="greaterThan">
      <formula>0</formula>
    </cfRule>
  </conditionalFormatting>
  <conditionalFormatting sqref="I197">
    <cfRule type="cellIs" dxfId="32" priority="28" operator="lessThanOrEqual">
      <formula>0</formula>
    </cfRule>
    <cfRule type="cellIs" dxfId="31" priority="27" operator="greaterThan">
      <formula>0</formula>
    </cfRule>
  </conditionalFormatting>
  <conditionalFormatting sqref="I199">
    <cfRule type="cellIs" dxfId="30" priority="93" operator="lessThanOrEqual">
      <formula>0</formula>
    </cfRule>
    <cfRule type="cellIs" dxfId="29" priority="92" operator="greaterThan">
      <formula>0</formula>
    </cfRule>
  </conditionalFormatting>
  <conditionalFormatting sqref="I216">
    <cfRule type="cellIs" dxfId="28" priority="83" operator="lessThanOrEqual">
      <formula>0</formula>
    </cfRule>
    <cfRule type="cellIs" dxfId="27" priority="84" operator="greaterThan">
      <formula>0</formula>
    </cfRule>
  </conditionalFormatting>
  <conditionalFormatting sqref="I228:I229">
    <cfRule type="cellIs" dxfId="26" priority="90" operator="greaterThan">
      <formula>0</formula>
    </cfRule>
    <cfRule type="cellIs" dxfId="25" priority="91" operator="lessThanOrEqual">
      <formula>0</formula>
    </cfRule>
  </conditionalFormatting>
  <conditionalFormatting sqref="I233">
    <cfRule type="cellIs" dxfId="24" priority="89" operator="lessThanOrEqual">
      <formula>0</formula>
    </cfRule>
    <cfRule type="cellIs" dxfId="23" priority="88" operator="greaterThan">
      <formula>0</formula>
    </cfRule>
  </conditionalFormatting>
  <conditionalFormatting sqref="I251:I252">
    <cfRule type="cellIs" dxfId="22" priority="75" operator="greaterThan">
      <formula>0</formula>
    </cfRule>
    <cfRule type="cellIs" dxfId="21" priority="76" operator="lessThanOrEqual">
      <formula>0</formula>
    </cfRule>
  </conditionalFormatting>
  <conditionalFormatting sqref="I256">
    <cfRule type="cellIs" dxfId="20" priority="16" operator="lessThanOrEqual">
      <formula>0</formula>
    </cfRule>
    <cfRule type="cellIs" dxfId="19" priority="15" operator="greaterThan">
      <formula>0</formula>
    </cfRule>
  </conditionalFormatting>
  <conditionalFormatting sqref="I262:I263">
    <cfRule type="cellIs" dxfId="18" priority="74" operator="lessThanOrEqual">
      <formula>0</formula>
    </cfRule>
    <cfRule type="cellIs" dxfId="17" priority="73" operator="greaterThan">
      <formula>0</formula>
    </cfRule>
  </conditionalFormatting>
  <conditionalFormatting sqref="I267">
    <cfRule type="cellIs" dxfId="16" priority="72" operator="lessThanOrEqual">
      <formula>0</formula>
    </cfRule>
    <cfRule type="cellIs" dxfId="15" priority="71" operator="greaterThan">
      <formula>0</formula>
    </cfRule>
  </conditionalFormatting>
  <conditionalFormatting sqref="I282">
    <cfRule type="cellIs" dxfId="14" priority="68" operator="lessThanOrEqual">
      <formula>0</formula>
    </cfRule>
    <cfRule type="cellIs" dxfId="13" priority="67" operator="greaterThan">
      <formula>0</formula>
    </cfRule>
  </conditionalFormatting>
  <conditionalFormatting sqref="I298">
    <cfRule type="cellIs" dxfId="12" priority="77" operator="greaterThan">
      <formula>0</formula>
    </cfRule>
    <cfRule type="cellIs" dxfId="11" priority="78" operator="lessThanOrEqual">
      <formula>0</formula>
    </cfRule>
  </conditionalFormatting>
  <conditionalFormatting sqref="I302">
    <cfRule type="cellIs" dxfId="10" priority="69" operator="greaterThan">
      <formula>0</formula>
    </cfRule>
    <cfRule type="cellIs" dxfId="9" priority="70" operator="lessThanOrEqual">
      <formula>0</formula>
    </cfRule>
  </conditionalFormatting>
  <conditionalFormatting sqref="I311">
    <cfRule type="cellIs" dxfId="8" priority="65" operator="greaterThan">
      <formula>0</formula>
    </cfRule>
    <cfRule type="cellIs" dxfId="7" priority="66" operator="lessThanOrEqual">
      <formula>0</formula>
    </cfRule>
  </conditionalFormatting>
  <conditionalFormatting sqref="J160">
    <cfRule type="cellIs" dxfId="6" priority="87" operator="notEqual">
      <formula>0</formula>
    </cfRule>
  </conditionalFormatting>
  <printOptions gridLines="1" gridLinesSet="0"/>
  <pageMargins left="0.79000000000000015" right="0.79000000000000015" top="0.98" bottom="0.98" header="0.51" footer="0.51"/>
  <pageSetup paperSize="9" orientation="portrait" horizontalDpi="4294967292" verticalDpi="4294967292"/>
  <headerFooter>
    <oddHeader>&amp;L&amp;K000000Client&amp;C&amp;K000000Show&amp;R&amp;K000000&amp;F</oddHeader>
    <oddFooter>&amp;LCalculation Boom&amp;C&amp;Pvan&amp;N&amp;R&amp;T/&amp;D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4CD5-8F46-1946-B9D2-28F5ACC6EF01}">
  <dimension ref="A2:CE31"/>
  <sheetViews>
    <sheetView zoomScale="150" zoomScaleNormal="150" zoomScalePageLayoutView="150" workbookViewId="0">
      <selection activeCell="F7" sqref="F7"/>
    </sheetView>
  </sheetViews>
  <sheetFormatPr defaultColWidth="10.875" defaultRowHeight="12.95"/>
  <cols>
    <col min="1" max="1" width="1.875" style="153" customWidth="1"/>
    <col min="2" max="2" width="23.875" style="153" customWidth="1"/>
    <col min="3" max="7" width="14.875" style="153" customWidth="1"/>
    <col min="8" max="8" width="2.875" style="153" customWidth="1"/>
    <col min="9" max="9" width="12.625" style="153" customWidth="1"/>
    <col min="10" max="10" width="13.875" style="153" customWidth="1"/>
    <col min="11" max="11" width="10.875" style="153"/>
    <col min="12" max="12" width="21.625" style="153" customWidth="1"/>
    <col min="13" max="13" width="11.125" style="153" bestFit="1" customWidth="1"/>
    <col min="14" max="16384" width="10.875" style="153"/>
  </cols>
  <sheetData>
    <row r="2" spans="1:83" ht="14.1" thickBot="1">
      <c r="B2" s="339" t="s">
        <v>1</v>
      </c>
      <c r="D2" s="339" t="s">
        <v>160</v>
      </c>
      <c r="F2" s="340" t="s">
        <v>161</v>
      </c>
      <c r="G2" s="339" t="s">
        <v>162</v>
      </c>
    </row>
    <row r="3" spans="1:83" ht="14.1" thickBot="1">
      <c r="B3" s="341" t="s">
        <v>163</v>
      </c>
      <c r="D3" s="342">
        <v>4</v>
      </c>
      <c r="F3" s="343" t="s">
        <v>164</v>
      </c>
      <c r="G3" s="343"/>
    </row>
    <row r="5" spans="1:83">
      <c r="B5" s="344" t="s">
        <v>165</v>
      </c>
      <c r="C5" s="345" t="s">
        <v>166</v>
      </c>
      <c r="D5" s="345" t="s">
        <v>29</v>
      </c>
      <c r="E5" s="345" t="s">
        <v>167</v>
      </c>
      <c r="F5" s="345" t="s">
        <v>168</v>
      </c>
      <c r="G5" s="345" t="s">
        <v>77</v>
      </c>
      <c r="I5" s="345" t="s">
        <v>169</v>
      </c>
      <c r="J5" s="345" t="s">
        <v>115</v>
      </c>
    </row>
    <row r="6" spans="1:83" s="351" customFormat="1">
      <c r="A6" s="153"/>
      <c r="B6" s="346" t="str">
        <f>'Budget show 1'!E5</f>
        <v>show</v>
      </c>
      <c r="C6" s="347">
        <f>'Calc 1'!D267</f>
        <v>0</v>
      </c>
      <c r="D6" s="347">
        <f>'Calc 1'!E267</f>
        <v>0</v>
      </c>
      <c r="E6" s="348">
        <f>'Calc 1'!F267</f>
        <v>0</v>
      </c>
      <c r="F6" s="204">
        <f>'Budget show 1'!I19</f>
        <v>0</v>
      </c>
      <c r="G6" s="349">
        <f>E6-F6</f>
        <v>0</v>
      </c>
      <c r="H6" s="153"/>
      <c r="I6" s="350">
        <f>'Budget show 1'!E10</f>
        <v>0</v>
      </c>
      <c r="J6" s="390" t="e">
        <f>E6/I6</f>
        <v>#DIV/0!</v>
      </c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</row>
    <row r="7" spans="1:83" s="351" customFormat="1">
      <c r="A7" s="153"/>
      <c r="B7" s="346" t="str">
        <f>'Budget show 2'!E5</f>
        <v>show</v>
      </c>
      <c r="C7" s="75">
        <f>'Calc 2'!D267</f>
        <v>1</v>
      </c>
      <c r="D7" s="75">
        <f>'Calc 2'!E267</f>
        <v>4</v>
      </c>
      <c r="E7" s="352">
        <f>'Calc 2'!F267</f>
        <v>5</v>
      </c>
      <c r="F7" s="204">
        <f>'Budget show 2'!I19</f>
        <v>0</v>
      </c>
      <c r="G7" s="349">
        <f>E7-F7</f>
        <v>5</v>
      </c>
      <c r="H7" s="153"/>
      <c r="I7" s="350">
        <f>'Budget show 2'!E10</f>
        <v>0</v>
      </c>
      <c r="J7" s="390" t="e">
        <f>E7/I7</f>
        <v>#DIV/0!</v>
      </c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</row>
    <row r="8" spans="1:83" s="351" customFormat="1">
      <c r="A8" s="153"/>
      <c r="B8" s="346" t="str">
        <f>'Budget show 3'!E5</f>
        <v>show</v>
      </c>
      <c r="C8" s="347">
        <f>'Calc 3'!D267</f>
        <v>0</v>
      </c>
      <c r="D8" s="347">
        <f>'Calc 3'!E267</f>
        <v>0</v>
      </c>
      <c r="E8" s="348">
        <f>'Calc 3'!F267</f>
        <v>0</v>
      </c>
      <c r="F8" s="204">
        <f>'Budget show 3'!I19</f>
        <v>0</v>
      </c>
      <c r="G8" s="349">
        <f>E8-F8</f>
        <v>0</v>
      </c>
      <c r="H8" s="153"/>
      <c r="I8" s="350">
        <f>'Budget show 3'!E10</f>
        <v>0</v>
      </c>
      <c r="J8" s="390" t="e">
        <f>E8/I8</f>
        <v>#DIV/0!</v>
      </c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</row>
    <row r="9" spans="1:83" s="351" customFormat="1">
      <c r="A9" s="153"/>
      <c r="B9" s="346" t="str">
        <f>'Budget show 4'!E5</f>
        <v>show</v>
      </c>
      <c r="C9" s="75">
        <f>'Calc 4'!D267</f>
        <v>0</v>
      </c>
      <c r="D9" s="75">
        <f>'Calc 4'!E267</f>
        <v>0</v>
      </c>
      <c r="E9" s="352">
        <f>'Calc 4'!F267</f>
        <v>0</v>
      </c>
      <c r="F9" s="204">
        <f>'Budget show 4'!I19</f>
        <v>0</v>
      </c>
      <c r="G9" s="349">
        <f>E9-F9</f>
        <v>0</v>
      </c>
      <c r="H9" s="153"/>
      <c r="I9" s="350">
        <f>'Budget show 4'!E10</f>
        <v>0</v>
      </c>
      <c r="J9" s="390" t="e">
        <f>E9/I9</f>
        <v>#DIV/0!</v>
      </c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</row>
    <row r="10" spans="1:83" s="351" customFormat="1">
      <c r="A10" s="153"/>
      <c r="B10" s="353" t="s">
        <v>11</v>
      </c>
      <c r="C10" s="83" t="s">
        <v>11</v>
      </c>
      <c r="D10" s="354" t="s">
        <v>11</v>
      </c>
      <c r="E10" s="355" t="s">
        <v>11</v>
      </c>
      <c r="F10" s="190" t="s">
        <v>11</v>
      </c>
      <c r="G10" s="356" t="s">
        <v>11</v>
      </c>
      <c r="H10" s="153" t="s">
        <v>11</v>
      </c>
      <c r="I10" s="357" t="s">
        <v>11</v>
      </c>
      <c r="J10" s="184" t="s">
        <v>11</v>
      </c>
      <c r="K10" s="153" t="s">
        <v>11</v>
      </c>
      <c r="L10" s="153" t="s">
        <v>11</v>
      </c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</row>
    <row r="11" spans="1:83" s="351" customFormat="1">
      <c r="A11" s="153"/>
      <c r="B11" s="153"/>
      <c r="C11" s="153"/>
      <c r="D11" s="153"/>
      <c r="E11" s="153"/>
      <c r="F11" s="358"/>
      <c r="G11" s="359"/>
      <c r="H11" s="153"/>
      <c r="I11" s="153" t="s">
        <v>11</v>
      </c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</row>
    <row r="12" spans="1:83" s="351" customFormat="1">
      <c r="A12" s="153" t="s">
        <v>11</v>
      </c>
      <c r="B12" s="360" t="s">
        <v>170</v>
      </c>
      <c r="C12" s="361">
        <f>SUM(C6:C10)</f>
        <v>1</v>
      </c>
      <c r="D12" s="361">
        <f>SUM(D6:D10)</f>
        <v>4</v>
      </c>
      <c r="E12" s="362">
        <f>SUM(E6:E10)</f>
        <v>5</v>
      </c>
      <c r="F12" s="361">
        <f>SUM(F6:F9)</f>
        <v>0</v>
      </c>
      <c r="G12" s="363">
        <f>SUM(G6:G9)</f>
        <v>5</v>
      </c>
      <c r="H12" s="153"/>
      <c r="I12" s="364">
        <f>SUM(I6:I10)</f>
        <v>0</v>
      </c>
      <c r="J12" s="365" t="e">
        <f>E12/I12</f>
        <v>#DIV/0!</v>
      </c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</row>
    <row r="13" spans="1:83">
      <c r="D13" s="366">
        <f>E12-C12</f>
        <v>4</v>
      </c>
      <c r="G13" s="153" t="s">
        <v>11</v>
      </c>
    </row>
    <row r="14" spans="1:83">
      <c r="D14" s="120">
        <f>D13/E12</f>
        <v>0.8</v>
      </c>
      <c r="J14" s="161" t="s">
        <v>11</v>
      </c>
    </row>
    <row r="15" spans="1:83" ht="15.95">
      <c r="B15" s="153" t="s">
        <v>11</v>
      </c>
      <c r="C15" s="153" t="s">
        <v>11</v>
      </c>
      <c r="F15" s="161" t="s">
        <v>11</v>
      </c>
      <c r="G15" s="367"/>
    </row>
    <row r="16" spans="1:83" ht="15.95">
      <c r="F16" s="153" t="s">
        <v>11</v>
      </c>
      <c r="G16" s="367" t="s">
        <v>11</v>
      </c>
      <c r="J16" s="153" t="s">
        <v>11</v>
      </c>
    </row>
    <row r="17" spans="2:13" ht="14.1" thickBot="1">
      <c r="J17" s="153" t="s">
        <v>11</v>
      </c>
    </row>
    <row r="18" spans="2:13" ht="14.1" thickBot="1">
      <c r="C18" s="368" t="s">
        <v>171</v>
      </c>
      <c r="D18" s="369"/>
      <c r="E18" s="370" t="s">
        <v>171</v>
      </c>
      <c r="F18" s="371"/>
      <c r="G18" s="372"/>
      <c r="I18" s="153" t="s">
        <v>11</v>
      </c>
      <c r="J18" s="153" t="s">
        <v>11</v>
      </c>
    </row>
    <row r="19" spans="2:13">
      <c r="C19" s="373">
        <v>0</v>
      </c>
      <c r="D19" s="361">
        <f>E19-C19</f>
        <v>0</v>
      </c>
      <c r="E19" s="374">
        <v>0</v>
      </c>
      <c r="F19" s="375">
        <f>E19/E12</f>
        <v>0</v>
      </c>
      <c r="G19" s="376"/>
      <c r="J19" s="153" t="s">
        <v>11</v>
      </c>
    </row>
    <row r="20" spans="2:13">
      <c r="B20" s="153" t="s">
        <v>11</v>
      </c>
      <c r="C20" s="377" t="s">
        <v>11</v>
      </c>
      <c r="D20" s="227"/>
      <c r="G20" s="376"/>
      <c r="J20" s="153" t="s">
        <v>11</v>
      </c>
    </row>
    <row r="21" spans="2:13">
      <c r="C21" s="378"/>
      <c r="D21" s="227"/>
      <c r="E21" s="379" t="s">
        <v>172</v>
      </c>
      <c r="F21" s="345" t="s">
        <v>168</v>
      </c>
      <c r="G21" s="380" t="s">
        <v>77</v>
      </c>
      <c r="I21" s="153" t="s">
        <v>11</v>
      </c>
      <c r="J21" s="153" t="s">
        <v>11</v>
      </c>
      <c r="M21" s="161" t="s">
        <v>11</v>
      </c>
    </row>
    <row r="22" spans="2:13" ht="15.95">
      <c r="C22" s="381">
        <f>C12+C19</f>
        <v>1</v>
      </c>
      <c r="D22" s="361">
        <f>D12+D19</f>
        <v>4</v>
      </c>
      <c r="E22" s="382">
        <f>E12+E19</f>
        <v>5</v>
      </c>
      <c r="F22" s="361">
        <f>F12</f>
        <v>0</v>
      </c>
      <c r="G22" s="383">
        <f>E22-F22</f>
        <v>5</v>
      </c>
      <c r="I22" s="384" t="s">
        <v>11</v>
      </c>
      <c r="J22" s="153" t="s">
        <v>11</v>
      </c>
      <c r="L22" s="153" t="s">
        <v>11</v>
      </c>
    </row>
    <row r="23" spans="2:13" ht="14.1" thickBot="1">
      <c r="C23" s="385"/>
      <c r="D23" s="386">
        <f>D22/E22</f>
        <v>0.8</v>
      </c>
      <c r="E23" s="387"/>
      <c r="F23" s="387"/>
      <c r="G23" s="388" t="e">
        <f>G22/F22</f>
        <v>#DIV/0!</v>
      </c>
      <c r="J23" s="153" t="s">
        <v>11</v>
      </c>
      <c r="L23" s="161" t="s">
        <v>11</v>
      </c>
    </row>
    <row r="25" spans="2:13">
      <c r="D25" s="153" t="s">
        <v>11</v>
      </c>
    </row>
    <row r="26" spans="2:13">
      <c r="C26" s="389" t="s">
        <v>173</v>
      </c>
      <c r="D26" s="366">
        <f>D22/D3</f>
        <v>1</v>
      </c>
    </row>
    <row r="28" spans="2:13">
      <c r="D28" s="161" t="s">
        <v>11</v>
      </c>
    </row>
    <row r="30" spans="2:13">
      <c r="D30" s="161" t="s">
        <v>11</v>
      </c>
      <c r="F30" s="153" t="s">
        <v>11</v>
      </c>
    </row>
    <row r="31" spans="2:13">
      <c r="F31" s="153" t="s">
        <v>11</v>
      </c>
    </row>
  </sheetData>
  <conditionalFormatting sqref="G6:G9">
    <cfRule type="cellIs" dxfId="5" priority="1" operator="lessThanOrEqual">
      <formula>0</formula>
    </cfRule>
    <cfRule type="cellIs" dxfId="4" priority="2" operator="greaterThan">
      <formula>0</formula>
    </cfRule>
  </conditionalFormatting>
  <conditionalFormatting sqref="G12">
    <cfRule type="cellIs" dxfId="3" priority="5" operator="lessThanOrEqual">
      <formula>0</formula>
    </cfRule>
    <cfRule type="cellIs" dxfId="2" priority="6" operator="greaterThan">
      <formula>0</formula>
    </cfRule>
  </conditionalFormatting>
  <conditionalFormatting sqref="G22:G23">
    <cfRule type="cellIs" dxfId="1" priority="3" operator="lessThanOrEqual">
      <formula>0</formula>
    </cfRule>
    <cfRule type="cellIs" dxfId="0" priority="4" operator="greaterThan">
      <formula>0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0"/>
  <sheetViews>
    <sheetView showGridLines="0" zoomScale="125" zoomScaleNormal="125" zoomScalePageLayoutView="125" workbookViewId="0">
      <selection activeCell="C26" sqref="C26"/>
    </sheetView>
  </sheetViews>
  <sheetFormatPr defaultColWidth="11" defaultRowHeight="15.95"/>
  <cols>
    <col min="1" max="1" width="3.375" customWidth="1"/>
    <col min="2" max="4" width="16.875" customWidth="1"/>
    <col min="5" max="5" width="3.375" customWidth="1"/>
    <col min="6" max="9" width="16.875" customWidth="1"/>
  </cols>
  <sheetData>
    <row r="3" spans="2:4">
      <c r="B3" s="139" t="s">
        <v>174</v>
      </c>
      <c r="C3" s="137" t="s">
        <v>175</v>
      </c>
      <c r="D3" s="138" t="s">
        <v>176</v>
      </c>
    </row>
    <row r="4" spans="2:4">
      <c r="B4" s="127" t="s">
        <v>168</v>
      </c>
      <c r="C4" s="128">
        <f>'Budget show 1'!G63</f>
        <v>0</v>
      </c>
      <c r="D4" s="133">
        <f>'Budget show 1'!G64</f>
        <v>0</v>
      </c>
    </row>
    <row r="5" spans="2:4">
      <c r="B5" s="129" t="s">
        <v>177</v>
      </c>
      <c r="C5" s="130">
        <f>'Calc 1'!E233</f>
        <v>0</v>
      </c>
      <c r="D5" s="134">
        <f>'Calc 1'!E235</f>
        <v>0</v>
      </c>
    </row>
    <row r="6" spans="2:4">
      <c r="B6" s="131" t="s">
        <v>178</v>
      </c>
      <c r="C6" s="132">
        <v>8039.86</v>
      </c>
      <c r="D6" s="135">
        <v>0.29499999999999998</v>
      </c>
    </row>
    <row r="13" spans="2:4">
      <c r="B13" s="125" t="s">
        <v>11</v>
      </c>
    </row>
    <row r="22" spans="2:4">
      <c r="B22" s="139" t="s">
        <v>38</v>
      </c>
      <c r="C22" s="137" t="s">
        <v>175</v>
      </c>
      <c r="D22" s="126"/>
    </row>
    <row r="23" spans="2:4">
      <c r="B23" s="127" t="s">
        <v>168</v>
      </c>
      <c r="C23" s="128">
        <f>'Budget show 1'!E46</f>
        <v>0</v>
      </c>
      <c r="D23" s="126"/>
    </row>
    <row r="24" spans="2:4">
      <c r="B24" s="129" t="s">
        <v>177</v>
      </c>
      <c r="C24" s="130">
        <f>'Calc 1'!D216</f>
        <v>0</v>
      </c>
      <c r="D24" s="126"/>
    </row>
    <row r="25" spans="2:4">
      <c r="B25" s="131" t="s">
        <v>179</v>
      </c>
      <c r="C25" s="132">
        <v>841.14</v>
      </c>
      <c r="D25" s="126"/>
    </row>
    <row r="26" spans="2:4">
      <c r="B26" s="126"/>
      <c r="C26" s="126"/>
      <c r="D26" s="126"/>
    </row>
    <row r="27" spans="2:4">
      <c r="B27" s="126"/>
      <c r="C27" s="126"/>
      <c r="D27" s="126"/>
    </row>
    <row r="28" spans="2:4">
      <c r="B28" s="126"/>
      <c r="C28" s="126"/>
      <c r="D28" s="126"/>
    </row>
    <row r="29" spans="2:4">
      <c r="B29" s="126"/>
      <c r="C29" s="126"/>
      <c r="D29" s="126"/>
    </row>
    <row r="30" spans="2:4">
      <c r="B30" s="126"/>
      <c r="C30" s="126"/>
      <c r="D30" s="126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5"/>
  <sheetViews>
    <sheetView workbookViewId="0">
      <selection activeCell="F55" sqref="F55"/>
    </sheetView>
  </sheetViews>
  <sheetFormatPr defaultColWidth="8.875" defaultRowHeight="15"/>
  <cols>
    <col min="1" max="16384" width="8.875" style="1"/>
  </cols>
  <sheetData>
    <row r="1" spans="1:4">
      <c r="A1" s="1" t="s">
        <v>180</v>
      </c>
    </row>
    <row r="2" spans="1:4">
      <c r="A2" s="1" t="s">
        <v>181</v>
      </c>
      <c r="D2" s="1" t="s">
        <v>14</v>
      </c>
    </row>
    <row r="3" spans="1:4">
      <c r="A3" s="1" t="s">
        <v>182</v>
      </c>
      <c r="D3" s="1" t="s">
        <v>183</v>
      </c>
    </row>
    <row r="4" spans="1:4">
      <c r="A4" s="1" t="s">
        <v>184</v>
      </c>
      <c r="D4" s="1" t="s">
        <v>185</v>
      </c>
    </row>
    <row r="5" spans="1:4">
      <c r="A5" s="1" t="s">
        <v>186</v>
      </c>
    </row>
    <row r="6" spans="1:4">
      <c r="A6" s="1" t="s">
        <v>187</v>
      </c>
      <c r="D6" s="1" t="s">
        <v>14</v>
      </c>
    </row>
    <row r="7" spans="1:4">
      <c r="A7" s="1" t="s">
        <v>188</v>
      </c>
      <c r="D7" s="1" t="s">
        <v>189</v>
      </c>
    </row>
    <row r="8" spans="1:4">
      <c r="A8" s="1" t="s">
        <v>190</v>
      </c>
      <c r="D8" s="1" t="s">
        <v>191</v>
      </c>
    </row>
    <row r="9" spans="1:4">
      <c r="A9" s="1" t="s">
        <v>192</v>
      </c>
      <c r="D9" s="1" t="s">
        <v>193</v>
      </c>
    </row>
    <row r="10" spans="1:4">
      <c r="A10" s="1" t="s">
        <v>194</v>
      </c>
      <c r="D10" s="1" t="s">
        <v>195</v>
      </c>
    </row>
    <row r="11" spans="1:4">
      <c r="A11" s="1" t="s">
        <v>196</v>
      </c>
      <c r="D11" s="1" t="s">
        <v>197</v>
      </c>
    </row>
    <row r="12" spans="1:4">
      <c r="A12" s="1" t="s">
        <v>198</v>
      </c>
    </row>
    <row r="13" spans="1:4">
      <c r="A13" s="1" t="s">
        <v>199</v>
      </c>
    </row>
    <row r="14" spans="1:4">
      <c r="A14" s="1" t="s">
        <v>200</v>
      </c>
    </row>
    <row r="15" spans="1:4">
      <c r="A15" s="1" t="s">
        <v>201</v>
      </c>
    </row>
    <row r="16" spans="1:4">
      <c r="A16" s="1" t="s">
        <v>202</v>
      </c>
    </row>
    <row r="17" spans="1:1">
      <c r="A17" s="1" t="s">
        <v>203</v>
      </c>
    </row>
    <row r="18" spans="1:1">
      <c r="A18" s="1" t="s">
        <v>204</v>
      </c>
    </row>
    <row r="19" spans="1:1">
      <c r="A19" s="1" t="s">
        <v>205</v>
      </c>
    </row>
    <row r="20" spans="1:1">
      <c r="A20" s="1" t="s">
        <v>206</v>
      </c>
    </row>
    <row r="21" spans="1:1">
      <c r="A21" s="1" t="s">
        <v>207</v>
      </c>
    </row>
    <row r="22" spans="1:1">
      <c r="A22" s="1" t="s">
        <v>208</v>
      </c>
    </row>
    <row r="23" spans="1:1">
      <c r="A23" s="1" t="s">
        <v>209</v>
      </c>
    </row>
    <row r="24" spans="1:1">
      <c r="A24" s="1" t="s">
        <v>210</v>
      </c>
    </row>
    <row r="25" spans="1:1">
      <c r="A25" s="1" t="s">
        <v>211</v>
      </c>
    </row>
    <row r="26" spans="1:1">
      <c r="A26" s="1" t="s">
        <v>212</v>
      </c>
    </row>
    <row r="27" spans="1:1">
      <c r="A27" s="1" t="s">
        <v>213</v>
      </c>
    </row>
    <row r="28" spans="1:1">
      <c r="A28" s="1" t="s">
        <v>214</v>
      </c>
    </row>
    <row r="29" spans="1:1">
      <c r="A29" s="1" t="s">
        <v>215</v>
      </c>
    </row>
    <row r="30" spans="1:1">
      <c r="A30" s="1" t="s">
        <v>216</v>
      </c>
    </row>
    <row r="31" spans="1:1">
      <c r="A31" s="1" t="s">
        <v>217</v>
      </c>
    </row>
    <row r="32" spans="1:1">
      <c r="A32" s="1" t="s">
        <v>218</v>
      </c>
    </row>
    <row r="33" spans="1:1">
      <c r="A33" s="1" t="s">
        <v>219</v>
      </c>
    </row>
    <row r="34" spans="1:1">
      <c r="A34" s="1" t="s">
        <v>220</v>
      </c>
    </row>
    <row r="35" spans="1:1">
      <c r="A35" s="1" t="s">
        <v>221</v>
      </c>
    </row>
    <row r="36" spans="1:1">
      <c r="A36" s="1" t="s">
        <v>222</v>
      </c>
    </row>
    <row r="37" spans="1:1">
      <c r="A37" s="1" t="s">
        <v>223</v>
      </c>
    </row>
    <row r="38" spans="1:1">
      <c r="A38" s="1" t="s">
        <v>224</v>
      </c>
    </row>
    <row r="39" spans="1:1">
      <c r="A39" s="1" t="s">
        <v>225</v>
      </c>
    </row>
    <row r="40" spans="1:1">
      <c r="A40" s="1" t="s">
        <v>226</v>
      </c>
    </row>
    <row r="41" spans="1:1">
      <c r="A41" s="1" t="s">
        <v>227</v>
      </c>
    </row>
    <row r="42" spans="1:1">
      <c r="A42" s="1" t="s">
        <v>228</v>
      </c>
    </row>
    <row r="43" spans="1:1">
      <c r="A43" s="1" t="s">
        <v>229</v>
      </c>
    </row>
    <row r="44" spans="1:1">
      <c r="A44" s="1" t="s">
        <v>230</v>
      </c>
    </row>
    <row r="45" spans="1:1">
      <c r="A45" s="1" t="s">
        <v>231</v>
      </c>
    </row>
    <row r="46" spans="1:1">
      <c r="A46" s="1" t="s">
        <v>232</v>
      </c>
    </row>
    <row r="47" spans="1:1">
      <c r="A47" s="1" t="s">
        <v>233</v>
      </c>
    </row>
    <row r="48" spans="1:1">
      <c r="A48" s="1" t="s">
        <v>234</v>
      </c>
    </row>
    <row r="49" spans="1:1">
      <c r="A49" s="1" t="s">
        <v>235</v>
      </c>
    </row>
    <row r="50" spans="1:1">
      <c r="A50" s="1" t="s">
        <v>236</v>
      </c>
    </row>
    <row r="51" spans="1:1">
      <c r="A51" s="1" t="s">
        <v>237</v>
      </c>
    </row>
    <row r="52" spans="1:1">
      <c r="A52" s="1" t="s">
        <v>238</v>
      </c>
    </row>
    <row r="53" spans="1:1">
      <c r="A53" s="1" t="s">
        <v>239</v>
      </c>
    </row>
    <row r="54" spans="1:1">
      <c r="A54" s="1" t="s">
        <v>240</v>
      </c>
    </row>
    <row r="55" spans="1:1">
      <c r="A55" s="1" t="s">
        <v>241</v>
      </c>
    </row>
    <row r="56" spans="1:1">
      <c r="A56" s="1" t="s">
        <v>242</v>
      </c>
    </row>
    <row r="57" spans="1:1">
      <c r="A57" s="1" t="s">
        <v>243</v>
      </c>
    </row>
    <row r="58" spans="1:1">
      <c r="A58" s="1" t="s">
        <v>244</v>
      </c>
    </row>
    <row r="59" spans="1:1">
      <c r="A59" s="1" t="s">
        <v>245</v>
      </c>
    </row>
    <row r="60" spans="1:1">
      <c r="A60" s="1" t="s">
        <v>246</v>
      </c>
    </row>
    <row r="61" spans="1:1">
      <c r="A61" s="1" t="s">
        <v>247</v>
      </c>
    </row>
    <row r="62" spans="1:1">
      <c r="A62" s="1" t="s">
        <v>248</v>
      </c>
    </row>
    <row r="63" spans="1:1">
      <c r="A63" s="1" t="s">
        <v>249</v>
      </c>
    </row>
    <row r="64" spans="1:1">
      <c r="A64" s="1" t="s">
        <v>250</v>
      </c>
    </row>
    <row r="65" spans="1:1">
      <c r="A65" s="1" t="s">
        <v>251</v>
      </c>
    </row>
    <row r="66" spans="1:1">
      <c r="A66" s="1" t="s">
        <v>252</v>
      </c>
    </row>
    <row r="67" spans="1:1">
      <c r="A67" s="1" t="s">
        <v>253</v>
      </c>
    </row>
    <row r="68" spans="1:1">
      <c r="A68" s="1" t="s">
        <v>254</v>
      </c>
    </row>
    <row r="69" spans="1:1">
      <c r="A69" s="1" t="s">
        <v>255</v>
      </c>
    </row>
    <row r="70" spans="1:1">
      <c r="A70" s="1" t="s">
        <v>256</v>
      </c>
    </row>
    <row r="71" spans="1:1">
      <c r="A71" s="1" t="s">
        <v>257</v>
      </c>
    </row>
    <row r="72" spans="1:1">
      <c r="A72" s="1" t="s">
        <v>258</v>
      </c>
    </row>
    <row r="73" spans="1:1">
      <c r="A73" s="1" t="s">
        <v>259</v>
      </c>
    </row>
    <row r="74" spans="1:1">
      <c r="A74" s="1" t="s">
        <v>260</v>
      </c>
    </row>
    <row r="75" spans="1:1">
      <c r="A75" s="1" t="s">
        <v>261</v>
      </c>
    </row>
    <row r="76" spans="1:1">
      <c r="A76" s="1" t="s">
        <v>262</v>
      </c>
    </row>
    <row r="77" spans="1:1">
      <c r="A77" s="1" t="s">
        <v>263</v>
      </c>
    </row>
    <row r="78" spans="1:1">
      <c r="A78" s="1" t="s">
        <v>264</v>
      </c>
    </row>
    <row r="79" spans="1:1">
      <c r="A79" s="1" t="s">
        <v>265</v>
      </c>
    </row>
    <row r="80" spans="1:1">
      <c r="A80" s="1" t="s">
        <v>266</v>
      </c>
    </row>
    <row r="81" spans="1:1">
      <c r="A81" s="1" t="s">
        <v>267</v>
      </c>
    </row>
    <row r="82" spans="1:1">
      <c r="A82" s="1" t="s">
        <v>268</v>
      </c>
    </row>
    <row r="83" spans="1:1">
      <c r="A83" s="1" t="s">
        <v>269</v>
      </c>
    </row>
    <row r="84" spans="1:1">
      <c r="A84" s="1" t="s">
        <v>270</v>
      </c>
    </row>
    <row r="85" spans="1:1">
      <c r="A85" s="1" t="s">
        <v>271</v>
      </c>
    </row>
    <row r="86" spans="1:1">
      <c r="A86" s="1" t="s">
        <v>272</v>
      </c>
    </row>
    <row r="87" spans="1:1">
      <c r="A87" s="1" t="s">
        <v>273</v>
      </c>
    </row>
    <row r="88" spans="1:1">
      <c r="A88" s="1" t="s">
        <v>274</v>
      </c>
    </row>
    <row r="89" spans="1:1">
      <c r="A89" s="1" t="s">
        <v>275</v>
      </c>
    </row>
    <row r="90" spans="1:1">
      <c r="A90" s="1" t="s">
        <v>276</v>
      </c>
    </row>
    <row r="91" spans="1:1">
      <c r="A91" s="1" t="s">
        <v>277</v>
      </c>
    </row>
    <row r="92" spans="1:1">
      <c r="A92" s="1" t="s">
        <v>278</v>
      </c>
    </row>
    <row r="93" spans="1:1">
      <c r="A93" s="1" t="s">
        <v>279</v>
      </c>
    </row>
    <row r="94" spans="1:1">
      <c r="A94" s="1" t="s">
        <v>280</v>
      </c>
    </row>
    <row r="95" spans="1:1">
      <c r="A95" s="1" t="s">
        <v>281</v>
      </c>
    </row>
    <row r="96" spans="1:1">
      <c r="A96" s="1" t="s">
        <v>282</v>
      </c>
    </row>
    <row r="97" spans="1:1">
      <c r="A97" s="1" t="s">
        <v>283</v>
      </c>
    </row>
    <row r="98" spans="1:1">
      <c r="A98" s="1" t="s">
        <v>284</v>
      </c>
    </row>
    <row r="99" spans="1:1">
      <c r="A99" s="1" t="s">
        <v>285</v>
      </c>
    </row>
    <row r="100" spans="1:1">
      <c r="A100" s="1" t="s">
        <v>286</v>
      </c>
    </row>
    <row r="101" spans="1:1">
      <c r="A101" s="1" t="s">
        <v>287</v>
      </c>
    </row>
    <row r="102" spans="1:1">
      <c r="A102" s="1" t="s">
        <v>288</v>
      </c>
    </row>
    <row r="103" spans="1:1">
      <c r="A103" s="1" t="s">
        <v>289</v>
      </c>
    </row>
    <row r="104" spans="1:1">
      <c r="A104" s="1" t="s">
        <v>290</v>
      </c>
    </row>
    <row r="105" spans="1:1">
      <c r="A105" s="1" t="s">
        <v>291</v>
      </c>
    </row>
    <row r="106" spans="1:1">
      <c r="A106" s="1" t="s">
        <v>292</v>
      </c>
    </row>
    <row r="107" spans="1:1">
      <c r="A107" s="1" t="s">
        <v>293</v>
      </c>
    </row>
    <row r="108" spans="1:1">
      <c r="A108" s="1" t="s">
        <v>294</v>
      </c>
    </row>
    <row r="109" spans="1:1">
      <c r="A109" s="1" t="s">
        <v>295</v>
      </c>
    </row>
    <row r="110" spans="1:1">
      <c r="A110" s="1" t="s">
        <v>296</v>
      </c>
    </row>
    <row r="111" spans="1:1">
      <c r="A111" s="1" t="s">
        <v>297</v>
      </c>
    </row>
    <row r="112" spans="1:1">
      <c r="A112" s="1" t="s">
        <v>298</v>
      </c>
    </row>
    <row r="113" spans="1:1">
      <c r="A113" s="1" t="s">
        <v>299</v>
      </c>
    </row>
    <row r="114" spans="1:1">
      <c r="A114" s="1" t="s">
        <v>300</v>
      </c>
    </row>
    <row r="115" spans="1:1">
      <c r="A115" s="1" t="s">
        <v>301</v>
      </c>
    </row>
    <row r="116" spans="1:1">
      <c r="A116" s="1" t="s">
        <v>302</v>
      </c>
    </row>
    <row r="117" spans="1:1">
      <c r="A117" s="1" t="s">
        <v>303</v>
      </c>
    </row>
    <row r="118" spans="1:1">
      <c r="A118" s="1" t="s">
        <v>304</v>
      </c>
    </row>
    <row r="119" spans="1:1">
      <c r="A119" s="1" t="s">
        <v>305</v>
      </c>
    </row>
    <row r="120" spans="1:1">
      <c r="A120" s="1" t="s">
        <v>306</v>
      </c>
    </row>
    <row r="121" spans="1:1">
      <c r="A121" s="1" t="s">
        <v>307</v>
      </c>
    </row>
    <row r="122" spans="1:1">
      <c r="A122" s="1" t="s">
        <v>308</v>
      </c>
    </row>
    <row r="123" spans="1:1">
      <c r="A123" s="1" t="s">
        <v>309</v>
      </c>
    </row>
    <row r="124" spans="1:1">
      <c r="A124" s="1" t="s">
        <v>310</v>
      </c>
    </row>
    <row r="125" spans="1:1">
      <c r="A125" s="1" t="s">
        <v>311</v>
      </c>
    </row>
    <row r="126" spans="1:1">
      <c r="A126" s="1" t="s">
        <v>312</v>
      </c>
    </row>
    <row r="127" spans="1:1">
      <c r="A127" s="1" t="s">
        <v>313</v>
      </c>
    </row>
    <row r="128" spans="1:1">
      <c r="A128" s="1" t="s">
        <v>314</v>
      </c>
    </row>
    <row r="129" spans="1:1">
      <c r="A129" s="1" t="s">
        <v>315</v>
      </c>
    </row>
    <row r="130" spans="1:1">
      <c r="A130" s="1" t="s">
        <v>316</v>
      </c>
    </row>
    <row r="131" spans="1:1">
      <c r="A131" s="1" t="s">
        <v>317</v>
      </c>
    </row>
    <row r="132" spans="1:1">
      <c r="A132" s="1" t="s">
        <v>318</v>
      </c>
    </row>
    <row r="133" spans="1:1">
      <c r="A133" s="1" t="s">
        <v>319</v>
      </c>
    </row>
    <row r="134" spans="1:1">
      <c r="A134" s="1" t="s">
        <v>320</v>
      </c>
    </row>
    <row r="135" spans="1:1">
      <c r="A135" s="1" t="s">
        <v>321</v>
      </c>
    </row>
    <row r="136" spans="1:1">
      <c r="A136" s="1" t="s">
        <v>322</v>
      </c>
    </row>
    <row r="137" spans="1:1">
      <c r="A137" s="1" t="s">
        <v>323</v>
      </c>
    </row>
    <row r="138" spans="1:1">
      <c r="A138" s="1" t="s">
        <v>324</v>
      </c>
    </row>
    <row r="139" spans="1:1">
      <c r="A139" s="1" t="s">
        <v>325</v>
      </c>
    </row>
    <row r="140" spans="1:1">
      <c r="A140" s="1" t="s">
        <v>326</v>
      </c>
    </row>
    <row r="141" spans="1:1">
      <c r="A141" s="1" t="s">
        <v>327</v>
      </c>
    </row>
    <row r="142" spans="1:1">
      <c r="A142" s="1" t="s">
        <v>328</v>
      </c>
    </row>
    <row r="143" spans="1:1">
      <c r="A143" s="1" t="s">
        <v>329</v>
      </c>
    </row>
    <row r="144" spans="1:1">
      <c r="A144" s="1" t="s">
        <v>330</v>
      </c>
    </row>
    <row r="145" spans="1:1">
      <c r="A145" s="1" t="s">
        <v>331</v>
      </c>
    </row>
    <row r="146" spans="1:1">
      <c r="A146" s="1" t="s">
        <v>332</v>
      </c>
    </row>
    <row r="147" spans="1:1">
      <c r="A147" s="1" t="s">
        <v>333</v>
      </c>
    </row>
    <row r="148" spans="1:1">
      <c r="A148" s="1" t="s">
        <v>334</v>
      </c>
    </row>
    <row r="149" spans="1:1">
      <c r="A149" s="1" t="s">
        <v>335</v>
      </c>
    </row>
    <row r="150" spans="1:1">
      <c r="A150" s="1" t="s">
        <v>336</v>
      </c>
    </row>
    <row r="151" spans="1:1">
      <c r="A151" s="1" t="s">
        <v>337</v>
      </c>
    </row>
    <row r="152" spans="1:1">
      <c r="A152" s="1" t="s">
        <v>338</v>
      </c>
    </row>
    <row r="153" spans="1:1">
      <c r="A153" s="1" t="s">
        <v>339</v>
      </c>
    </row>
    <row r="154" spans="1:1">
      <c r="A154" s="1" t="s">
        <v>340</v>
      </c>
    </row>
    <row r="155" spans="1:1">
      <c r="A155" s="1" t="s">
        <v>341</v>
      </c>
    </row>
    <row r="156" spans="1:1">
      <c r="A156" s="1" t="s">
        <v>342</v>
      </c>
    </row>
    <row r="157" spans="1:1">
      <c r="A157" s="1" t="s">
        <v>343</v>
      </c>
    </row>
    <row r="158" spans="1:1">
      <c r="A158" s="1" t="s">
        <v>344</v>
      </c>
    </row>
    <row r="159" spans="1:1">
      <c r="A159" s="1" t="s">
        <v>345</v>
      </c>
    </row>
    <row r="160" spans="1:1">
      <c r="A160" s="1" t="s">
        <v>346</v>
      </c>
    </row>
    <row r="161" spans="1:1">
      <c r="A161" s="1" t="s">
        <v>347</v>
      </c>
    </row>
    <row r="162" spans="1:1">
      <c r="A162" s="1" t="s">
        <v>348</v>
      </c>
    </row>
    <row r="163" spans="1:1">
      <c r="A163" s="1" t="s">
        <v>349</v>
      </c>
    </row>
    <row r="164" spans="1:1">
      <c r="A164" s="1" t="s">
        <v>350</v>
      </c>
    </row>
    <row r="165" spans="1:1">
      <c r="A165" s="1" t="s">
        <v>351</v>
      </c>
    </row>
    <row r="166" spans="1:1">
      <c r="A166" s="1" t="s">
        <v>352</v>
      </c>
    </row>
    <row r="167" spans="1:1">
      <c r="A167" s="1" t="s">
        <v>353</v>
      </c>
    </row>
    <row r="168" spans="1:1">
      <c r="A168" s="1" t="s">
        <v>354</v>
      </c>
    </row>
    <row r="169" spans="1:1">
      <c r="A169" s="1" t="s">
        <v>355</v>
      </c>
    </row>
    <row r="170" spans="1:1">
      <c r="A170" s="1" t="s">
        <v>356</v>
      </c>
    </row>
    <row r="171" spans="1:1">
      <c r="A171" s="1" t="s">
        <v>357</v>
      </c>
    </row>
    <row r="172" spans="1:1">
      <c r="A172" s="1" t="s">
        <v>358</v>
      </c>
    </row>
    <row r="173" spans="1:1">
      <c r="A173" s="1" t="s">
        <v>359</v>
      </c>
    </row>
    <row r="174" spans="1:1">
      <c r="A174" s="1" t="s">
        <v>360</v>
      </c>
    </row>
    <row r="175" spans="1:1">
      <c r="A175" s="1" t="s">
        <v>361</v>
      </c>
    </row>
    <row r="176" spans="1:1">
      <c r="A176" s="1" t="s">
        <v>362</v>
      </c>
    </row>
    <row r="177" spans="1:1">
      <c r="A177" s="1" t="s">
        <v>363</v>
      </c>
    </row>
    <row r="178" spans="1:1">
      <c r="A178" s="1" t="s">
        <v>364</v>
      </c>
    </row>
    <row r="179" spans="1:1">
      <c r="A179" s="1" t="s">
        <v>365</v>
      </c>
    </row>
    <row r="180" spans="1:1">
      <c r="A180" s="1" t="s">
        <v>366</v>
      </c>
    </row>
    <row r="181" spans="1:1">
      <c r="A181" s="1" t="s">
        <v>367</v>
      </c>
    </row>
    <row r="182" spans="1:1">
      <c r="A182" s="1" t="s">
        <v>368</v>
      </c>
    </row>
    <row r="183" spans="1:1">
      <c r="A183" s="1" t="s">
        <v>369</v>
      </c>
    </row>
    <row r="184" spans="1:1">
      <c r="A184" s="1" t="s">
        <v>370</v>
      </c>
    </row>
    <row r="185" spans="1:1">
      <c r="A185" s="1" t="s">
        <v>371</v>
      </c>
    </row>
    <row r="186" spans="1:1">
      <c r="A186" s="1" t="s">
        <v>372</v>
      </c>
    </row>
    <row r="187" spans="1:1">
      <c r="A187" s="1" t="s">
        <v>373</v>
      </c>
    </row>
    <row r="188" spans="1:1">
      <c r="A188" s="1" t="s">
        <v>374</v>
      </c>
    </row>
    <row r="189" spans="1:1">
      <c r="A189" s="1" t="s">
        <v>375</v>
      </c>
    </row>
    <row r="190" spans="1:1">
      <c r="A190" s="1" t="s">
        <v>376</v>
      </c>
    </row>
    <row r="191" spans="1:1">
      <c r="A191" s="1" t="s">
        <v>377</v>
      </c>
    </row>
    <row r="192" spans="1:1">
      <c r="A192" s="1" t="s">
        <v>378</v>
      </c>
    </row>
    <row r="193" spans="1:1">
      <c r="A193" s="1" t="s">
        <v>379</v>
      </c>
    </row>
    <row r="194" spans="1:1">
      <c r="A194" s="1" t="s">
        <v>380</v>
      </c>
    </row>
    <row r="195" spans="1:1">
      <c r="A195" s="1" t="s">
        <v>381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EE06-944A-A340-BCD6-3A19AC8C0FEB}">
  <dimension ref="A1"/>
  <sheetViews>
    <sheetView workbookViewId="0"/>
  </sheetViews>
  <sheetFormatPr defaultColWidth="11" defaultRowHeight="15.9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6710B92E7F34698B572761D02A44E" ma:contentTypeVersion="13" ma:contentTypeDescription="Create a new document." ma:contentTypeScope="" ma:versionID="c34cba30c1e727abe32a07105ac5141d">
  <xsd:schema xmlns:xsd="http://www.w3.org/2001/XMLSchema" xmlns:xs="http://www.w3.org/2001/XMLSchema" xmlns:p="http://schemas.microsoft.com/office/2006/metadata/properties" xmlns:ns2="4e5d9fd2-8862-4150-a193-f0cbc987155d" xmlns:ns3="9912593c-e36c-4591-ab3a-ea133e5dce0c" targetNamespace="http://schemas.microsoft.com/office/2006/metadata/properties" ma:root="true" ma:fieldsID="aeb7b326b23befe1dd0651a870a8fda1" ns2:_="" ns3:_="">
    <xsd:import namespace="4e5d9fd2-8862-4150-a193-f0cbc987155d"/>
    <xsd:import namespace="9912593c-e36c-4591-ab3a-ea133e5dce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d9fd2-8862-4150-a193-f0cbc98715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46a2ee6-d9dd-47e0-a4da-e599dab697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2593c-e36c-4591-ab3a-ea133e5dce0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0a3de09-7947-47a7-aba1-f45fd3d2b9d8}" ma:internalName="TaxCatchAll" ma:showField="CatchAllData" ma:web="9912593c-e36c-4591-ab3a-ea133e5dce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12593c-e36c-4591-ab3a-ea133e5dce0c" xsi:nil="true"/>
    <lcf76f155ced4ddcb4097134ff3c332f xmlns="4e5d9fd2-8862-4150-a193-f0cbc987155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43D85-1CD7-4FAD-835B-F83B9F05D3DC}"/>
</file>

<file path=customXml/itemProps2.xml><?xml version="1.0" encoding="utf-8"?>
<ds:datastoreItem xmlns:ds="http://schemas.openxmlformats.org/officeDocument/2006/customXml" ds:itemID="{A15FF0BC-C15A-440C-A9A0-081495AC4D58}"/>
</file>

<file path=customXml/itemProps3.xml><?xml version="1.0" encoding="utf-8"?>
<ds:datastoreItem xmlns:ds="http://schemas.openxmlformats.org/officeDocument/2006/customXml" ds:itemID="{0F58C19B-4AC1-4B83-ABA4-01113F4DF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Hoynck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 Kooymans</dc:creator>
  <cp:keywords/>
  <dc:description/>
  <cp:lastModifiedBy/>
  <cp:revision/>
  <dcterms:created xsi:type="dcterms:W3CDTF">2015-09-07T19:15:10Z</dcterms:created>
  <dcterms:modified xsi:type="dcterms:W3CDTF">2026-03-25T12:56:08Z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0x01010071F6710B92E7F34698B572761D02A44E</vt:lpwstr>
  </property>
  <property fmtid="{D5CDD505-2E9C-101B-9397-08002B2CF9AE}" pid="3" name="MSIP_Label_2a910a18-b2c6-4b15-a59d-f6082a8b4ac5_Enabled">
    <vt:lpwstr>true</vt:lpwstr>
  </property>
  <property fmtid="{D5CDD505-2E9C-101B-9397-08002B2CF9AE}" pid="4" name="MSIP_Label_2a910a18-b2c6-4b15-a59d-f6082a8b4ac5_SetDate">
    <vt:lpwstr>2025-11-20T08:06:54Z</vt:lpwstr>
  </property>
  <property fmtid="{D5CDD505-2E9C-101B-9397-08002B2CF9AE}" pid="5" name="MSIP_Label_2a910a18-b2c6-4b15-a59d-f6082a8b4ac5_Method">
    <vt:lpwstr>Standard</vt:lpwstr>
  </property>
  <property fmtid="{D5CDD505-2E9C-101B-9397-08002B2CF9AE}" pid="6" name="MSIP_Label_2a910a18-b2c6-4b15-a59d-f6082a8b4ac5_Name">
    <vt:lpwstr>Doc Mail Medium</vt:lpwstr>
  </property>
  <property fmtid="{D5CDD505-2E9C-101B-9397-08002B2CF9AE}" pid="7" name="MSIP_Label_2a910a18-b2c6-4b15-a59d-f6082a8b4ac5_SiteId">
    <vt:lpwstr>9bdea07f-dab9-47b7-a45f-9c5b74035456</vt:lpwstr>
  </property>
  <property fmtid="{D5CDD505-2E9C-101B-9397-08002B2CF9AE}" pid="8" name="MSIP_Label_2a910a18-b2c6-4b15-a59d-f6082a8b4ac5_ActionId">
    <vt:lpwstr>51901099-238e-471f-895c-0618d4ce7439</vt:lpwstr>
  </property>
  <property fmtid="{D5CDD505-2E9C-101B-9397-08002B2CF9AE}" pid="9" name="MSIP_Label_2a910a18-b2c6-4b15-a59d-f6082a8b4ac5_ContentBits">
    <vt:lpwstr>0</vt:lpwstr>
  </property>
  <property fmtid="{D5CDD505-2E9C-101B-9397-08002B2CF9AE}" pid="10" name="MSIP_Label_2a910a18-b2c6-4b15-a59d-f6082a8b4ac5_Tag">
    <vt:lpwstr>10, 3, 0, 2</vt:lpwstr>
  </property>
  <property fmtid="{D5CDD505-2E9C-101B-9397-08002B2CF9AE}" pid="11" name="MediaServiceImageTags">
    <vt:lpwstr/>
  </property>
</Properties>
</file>